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7"/>
  <workbookPr/>
  <xr:revisionPtr revIDLastSave="1" documentId="11_3E384B40E2CE6D02E62AAC8F99A53E71C9984E57" xr6:coauthVersionLast="47" xr6:coauthVersionMax="47" xr10:uidLastSave="{4E0C0C01-5351-4843-82B0-4D6812F2164A}"/>
  <bookViews>
    <workbookView xWindow="0" yWindow="0" windowWidth="16384" windowHeight="8192" tabRatio="500" xr2:uid="{00000000-000D-0000-FFFF-FFFF00000000}"/>
  </bookViews>
  <sheets>
    <sheet name="README" sheetId="1" r:id="rId1"/>
    <sheet name="Shipments" sheetId="2" r:id="rId2"/>
    <sheet name="Customers" sheetId="3" r:id="rId3"/>
    <sheet name="Invoices" sheetId="4" r:id="rId4"/>
    <sheet name="Headcount" sheetId="5" r:id="rId5"/>
  </sheets>
  <definedNames>
    <definedName name="_xlnm._FilterDatabase" localSheetId="1" hidden="1">Shipments!$A$1:$Y$411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5" l="1"/>
  <c r="E12" i="5" s="1"/>
  <c r="B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D12" i="5" s="1"/>
  <c r="E25" i="4"/>
  <c r="E24" i="4"/>
  <c r="Q412" i="2"/>
  <c r="P412" i="2"/>
  <c r="V411" i="2"/>
  <c r="R411" i="2"/>
  <c r="S411" i="2" s="1"/>
  <c r="V410" i="2"/>
  <c r="R410" i="2"/>
  <c r="S410" i="2" s="1"/>
  <c r="V409" i="2"/>
  <c r="R409" i="2"/>
  <c r="S409" i="2" s="1"/>
  <c r="V408" i="2"/>
  <c r="R408" i="2"/>
  <c r="S408" i="2" s="1"/>
  <c r="V407" i="2"/>
  <c r="R407" i="2"/>
  <c r="S407" i="2" s="1"/>
  <c r="V406" i="2"/>
  <c r="R406" i="2"/>
  <c r="S406" i="2" s="1"/>
  <c r="V405" i="2"/>
  <c r="R405" i="2"/>
  <c r="S405" i="2" s="1"/>
  <c r="V404" i="2"/>
  <c r="R404" i="2"/>
  <c r="S404" i="2" s="1"/>
  <c r="V403" i="2"/>
  <c r="R403" i="2"/>
  <c r="S403" i="2" s="1"/>
  <c r="V402" i="2"/>
  <c r="R402" i="2"/>
  <c r="S402" i="2" s="1"/>
  <c r="V401" i="2"/>
  <c r="R401" i="2"/>
  <c r="S401" i="2" s="1"/>
  <c r="V400" i="2"/>
  <c r="R400" i="2"/>
  <c r="S400" i="2" s="1"/>
  <c r="V399" i="2"/>
  <c r="R399" i="2"/>
  <c r="S399" i="2" s="1"/>
  <c r="V398" i="2"/>
  <c r="R398" i="2"/>
  <c r="S398" i="2" s="1"/>
  <c r="V397" i="2"/>
  <c r="R397" i="2"/>
  <c r="S397" i="2" s="1"/>
  <c r="V396" i="2"/>
  <c r="R396" i="2"/>
  <c r="S396" i="2" s="1"/>
  <c r="V395" i="2"/>
  <c r="R395" i="2"/>
  <c r="S395" i="2" s="1"/>
  <c r="V394" i="2"/>
  <c r="R394" i="2"/>
  <c r="S394" i="2" s="1"/>
  <c r="V393" i="2"/>
  <c r="R393" i="2"/>
  <c r="S393" i="2" s="1"/>
  <c r="V392" i="2"/>
  <c r="R392" i="2"/>
  <c r="S392" i="2" s="1"/>
  <c r="V391" i="2"/>
  <c r="R391" i="2"/>
  <c r="S391" i="2" s="1"/>
  <c r="V390" i="2"/>
  <c r="R390" i="2"/>
  <c r="S390" i="2" s="1"/>
  <c r="V389" i="2"/>
  <c r="R389" i="2"/>
  <c r="S389" i="2" s="1"/>
  <c r="V388" i="2"/>
  <c r="R388" i="2"/>
  <c r="S388" i="2" s="1"/>
  <c r="V387" i="2"/>
  <c r="R387" i="2"/>
  <c r="S387" i="2" s="1"/>
  <c r="V386" i="2"/>
  <c r="R386" i="2"/>
  <c r="S386" i="2" s="1"/>
  <c r="V385" i="2"/>
  <c r="R385" i="2"/>
  <c r="S385" i="2" s="1"/>
  <c r="V384" i="2"/>
  <c r="R384" i="2"/>
  <c r="S384" i="2" s="1"/>
  <c r="V383" i="2"/>
  <c r="R383" i="2"/>
  <c r="S383" i="2" s="1"/>
  <c r="V382" i="2"/>
  <c r="R382" i="2"/>
  <c r="S382" i="2" s="1"/>
  <c r="V381" i="2"/>
  <c r="R381" i="2"/>
  <c r="S381" i="2" s="1"/>
  <c r="V380" i="2"/>
  <c r="R380" i="2"/>
  <c r="S380" i="2" s="1"/>
  <c r="V379" i="2"/>
  <c r="R379" i="2"/>
  <c r="S379" i="2" s="1"/>
  <c r="V378" i="2"/>
  <c r="R378" i="2"/>
  <c r="S378" i="2" s="1"/>
  <c r="V377" i="2"/>
  <c r="R377" i="2"/>
  <c r="S377" i="2" s="1"/>
  <c r="V376" i="2"/>
  <c r="R376" i="2"/>
  <c r="S376" i="2" s="1"/>
  <c r="V375" i="2"/>
  <c r="R375" i="2"/>
  <c r="S375" i="2" s="1"/>
  <c r="V374" i="2"/>
  <c r="R374" i="2"/>
  <c r="S374" i="2" s="1"/>
  <c r="V373" i="2"/>
  <c r="R373" i="2"/>
  <c r="S373" i="2" s="1"/>
  <c r="V372" i="2"/>
  <c r="R372" i="2"/>
  <c r="S372" i="2" s="1"/>
  <c r="V371" i="2"/>
  <c r="R371" i="2"/>
  <c r="S371" i="2" s="1"/>
  <c r="V370" i="2"/>
  <c r="R370" i="2"/>
  <c r="S370" i="2" s="1"/>
  <c r="V369" i="2"/>
  <c r="R369" i="2"/>
  <c r="S369" i="2" s="1"/>
  <c r="V368" i="2"/>
  <c r="R368" i="2"/>
  <c r="S368" i="2" s="1"/>
  <c r="V367" i="2"/>
  <c r="R367" i="2"/>
  <c r="S367" i="2" s="1"/>
  <c r="V366" i="2"/>
  <c r="R366" i="2"/>
  <c r="S366" i="2" s="1"/>
  <c r="V365" i="2"/>
  <c r="R365" i="2"/>
  <c r="S365" i="2" s="1"/>
  <c r="V364" i="2"/>
  <c r="R364" i="2"/>
  <c r="S364" i="2" s="1"/>
  <c r="V363" i="2"/>
  <c r="R363" i="2"/>
  <c r="S363" i="2" s="1"/>
  <c r="V362" i="2"/>
  <c r="R362" i="2"/>
  <c r="S362" i="2" s="1"/>
  <c r="V361" i="2"/>
  <c r="R361" i="2"/>
  <c r="S361" i="2" s="1"/>
  <c r="V360" i="2"/>
  <c r="R360" i="2"/>
  <c r="S360" i="2" s="1"/>
  <c r="V359" i="2"/>
  <c r="R359" i="2"/>
  <c r="S359" i="2" s="1"/>
  <c r="V358" i="2"/>
  <c r="R358" i="2"/>
  <c r="S358" i="2" s="1"/>
  <c r="V357" i="2"/>
  <c r="R357" i="2"/>
  <c r="S357" i="2" s="1"/>
  <c r="V356" i="2"/>
  <c r="R356" i="2"/>
  <c r="S356" i="2" s="1"/>
  <c r="V355" i="2"/>
  <c r="R355" i="2"/>
  <c r="S355" i="2" s="1"/>
  <c r="V354" i="2"/>
  <c r="R354" i="2"/>
  <c r="S354" i="2" s="1"/>
  <c r="V353" i="2"/>
  <c r="R353" i="2"/>
  <c r="S353" i="2" s="1"/>
  <c r="V352" i="2"/>
  <c r="R352" i="2"/>
  <c r="S352" i="2" s="1"/>
  <c r="V351" i="2"/>
  <c r="R351" i="2"/>
  <c r="S351" i="2" s="1"/>
  <c r="V350" i="2"/>
  <c r="R350" i="2"/>
  <c r="S350" i="2" s="1"/>
  <c r="V349" i="2"/>
  <c r="R349" i="2"/>
  <c r="S349" i="2" s="1"/>
  <c r="V348" i="2"/>
  <c r="R348" i="2"/>
  <c r="S348" i="2" s="1"/>
  <c r="V347" i="2"/>
  <c r="R347" i="2"/>
  <c r="S347" i="2" s="1"/>
  <c r="V346" i="2"/>
  <c r="R346" i="2"/>
  <c r="S346" i="2" s="1"/>
  <c r="V345" i="2"/>
  <c r="R345" i="2"/>
  <c r="S345" i="2" s="1"/>
  <c r="V344" i="2"/>
  <c r="R344" i="2"/>
  <c r="S344" i="2" s="1"/>
  <c r="V343" i="2"/>
  <c r="R343" i="2"/>
  <c r="S343" i="2" s="1"/>
  <c r="V342" i="2"/>
  <c r="R342" i="2"/>
  <c r="S342" i="2" s="1"/>
  <c r="V341" i="2"/>
  <c r="R341" i="2"/>
  <c r="S341" i="2" s="1"/>
  <c r="V340" i="2"/>
  <c r="R340" i="2"/>
  <c r="S340" i="2" s="1"/>
  <c r="V339" i="2"/>
  <c r="R339" i="2"/>
  <c r="S339" i="2" s="1"/>
  <c r="V338" i="2"/>
  <c r="R338" i="2"/>
  <c r="S338" i="2" s="1"/>
  <c r="V337" i="2"/>
  <c r="R337" i="2"/>
  <c r="S337" i="2" s="1"/>
  <c r="V336" i="2"/>
  <c r="R336" i="2"/>
  <c r="S336" i="2" s="1"/>
  <c r="V335" i="2"/>
  <c r="R335" i="2"/>
  <c r="S335" i="2" s="1"/>
  <c r="V334" i="2"/>
  <c r="R334" i="2"/>
  <c r="S334" i="2" s="1"/>
  <c r="V333" i="2"/>
  <c r="R333" i="2"/>
  <c r="S333" i="2" s="1"/>
  <c r="V332" i="2"/>
  <c r="R332" i="2"/>
  <c r="S332" i="2" s="1"/>
  <c r="V331" i="2"/>
  <c r="R331" i="2"/>
  <c r="S331" i="2" s="1"/>
  <c r="V330" i="2"/>
  <c r="R330" i="2"/>
  <c r="S330" i="2" s="1"/>
  <c r="V329" i="2"/>
  <c r="R329" i="2"/>
  <c r="S329" i="2" s="1"/>
  <c r="V328" i="2"/>
  <c r="R328" i="2"/>
  <c r="S328" i="2" s="1"/>
  <c r="V327" i="2"/>
  <c r="R327" i="2"/>
  <c r="S327" i="2" s="1"/>
  <c r="V326" i="2"/>
  <c r="R326" i="2"/>
  <c r="S326" i="2" s="1"/>
  <c r="V325" i="2"/>
  <c r="R325" i="2"/>
  <c r="S325" i="2" s="1"/>
  <c r="V324" i="2"/>
  <c r="R324" i="2"/>
  <c r="S324" i="2" s="1"/>
  <c r="V323" i="2"/>
  <c r="R323" i="2"/>
  <c r="S323" i="2" s="1"/>
  <c r="V322" i="2"/>
  <c r="R322" i="2"/>
  <c r="S322" i="2" s="1"/>
  <c r="V321" i="2"/>
  <c r="R321" i="2"/>
  <c r="S321" i="2" s="1"/>
  <c r="V320" i="2"/>
  <c r="R320" i="2"/>
  <c r="S320" i="2" s="1"/>
  <c r="V319" i="2"/>
  <c r="R319" i="2"/>
  <c r="S319" i="2" s="1"/>
  <c r="V318" i="2"/>
  <c r="R318" i="2"/>
  <c r="S318" i="2" s="1"/>
  <c r="V317" i="2"/>
  <c r="R317" i="2"/>
  <c r="S317" i="2" s="1"/>
  <c r="V316" i="2"/>
  <c r="R316" i="2"/>
  <c r="S316" i="2" s="1"/>
  <c r="V315" i="2"/>
  <c r="R315" i="2"/>
  <c r="S315" i="2" s="1"/>
  <c r="V314" i="2"/>
  <c r="R314" i="2"/>
  <c r="S314" i="2" s="1"/>
  <c r="V313" i="2"/>
  <c r="R313" i="2"/>
  <c r="S313" i="2" s="1"/>
  <c r="V312" i="2"/>
  <c r="R312" i="2"/>
  <c r="S312" i="2" s="1"/>
  <c r="V311" i="2"/>
  <c r="R311" i="2"/>
  <c r="S311" i="2" s="1"/>
  <c r="V310" i="2"/>
  <c r="R310" i="2"/>
  <c r="S310" i="2" s="1"/>
  <c r="V309" i="2"/>
  <c r="R309" i="2"/>
  <c r="S309" i="2" s="1"/>
  <c r="V308" i="2"/>
  <c r="R308" i="2"/>
  <c r="S308" i="2" s="1"/>
  <c r="V307" i="2"/>
  <c r="R307" i="2"/>
  <c r="S307" i="2" s="1"/>
  <c r="V306" i="2"/>
  <c r="R306" i="2"/>
  <c r="S306" i="2" s="1"/>
  <c r="V305" i="2"/>
  <c r="R305" i="2"/>
  <c r="S305" i="2" s="1"/>
  <c r="V304" i="2"/>
  <c r="R304" i="2"/>
  <c r="S304" i="2" s="1"/>
  <c r="V303" i="2"/>
  <c r="R303" i="2"/>
  <c r="S303" i="2" s="1"/>
  <c r="V302" i="2"/>
  <c r="R302" i="2"/>
  <c r="S302" i="2" s="1"/>
  <c r="V301" i="2"/>
  <c r="R301" i="2"/>
  <c r="S301" i="2" s="1"/>
  <c r="V300" i="2"/>
  <c r="R300" i="2"/>
  <c r="S300" i="2" s="1"/>
  <c r="V299" i="2"/>
  <c r="R299" i="2"/>
  <c r="S299" i="2" s="1"/>
  <c r="V298" i="2"/>
  <c r="R298" i="2"/>
  <c r="S298" i="2" s="1"/>
  <c r="V297" i="2"/>
  <c r="R297" i="2"/>
  <c r="S297" i="2" s="1"/>
  <c r="V296" i="2"/>
  <c r="R296" i="2"/>
  <c r="S296" i="2" s="1"/>
  <c r="V295" i="2"/>
  <c r="R295" i="2"/>
  <c r="S295" i="2" s="1"/>
  <c r="V294" i="2"/>
  <c r="R294" i="2"/>
  <c r="S294" i="2" s="1"/>
  <c r="V293" i="2"/>
  <c r="R293" i="2"/>
  <c r="S293" i="2" s="1"/>
  <c r="V292" i="2"/>
  <c r="R292" i="2"/>
  <c r="S292" i="2" s="1"/>
  <c r="V291" i="2"/>
  <c r="R291" i="2"/>
  <c r="S291" i="2" s="1"/>
  <c r="V290" i="2"/>
  <c r="R290" i="2"/>
  <c r="S290" i="2" s="1"/>
  <c r="V289" i="2"/>
  <c r="R289" i="2"/>
  <c r="S289" i="2" s="1"/>
  <c r="V288" i="2"/>
  <c r="R288" i="2"/>
  <c r="S288" i="2" s="1"/>
  <c r="V287" i="2"/>
  <c r="R287" i="2"/>
  <c r="S287" i="2" s="1"/>
  <c r="V286" i="2"/>
  <c r="R286" i="2"/>
  <c r="S286" i="2" s="1"/>
  <c r="V285" i="2"/>
  <c r="R285" i="2"/>
  <c r="S285" i="2" s="1"/>
  <c r="V284" i="2"/>
  <c r="R284" i="2"/>
  <c r="S284" i="2" s="1"/>
  <c r="V283" i="2"/>
  <c r="R283" i="2"/>
  <c r="S283" i="2" s="1"/>
  <c r="V282" i="2"/>
  <c r="R282" i="2"/>
  <c r="S282" i="2" s="1"/>
  <c r="V281" i="2"/>
  <c r="R281" i="2"/>
  <c r="S281" i="2" s="1"/>
  <c r="V280" i="2"/>
  <c r="R280" i="2"/>
  <c r="S280" i="2" s="1"/>
  <c r="V279" i="2"/>
  <c r="R279" i="2"/>
  <c r="S279" i="2" s="1"/>
  <c r="V278" i="2"/>
  <c r="R278" i="2"/>
  <c r="S278" i="2" s="1"/>
  <c r="V277" i="2"/>
  <c r="R277" i="2"/>
  <c r="S277" i="2" s="1"/>
  <c r="V276" i="2"/>
  <c r="R276" i="2"/>
  <c r="S276" i="2" s="1"/>
  <c r="V275" i="2"/>
  <c r="R275" i="2"/>
  <c r="S275" i="2" s="1"/>
  <c r="V274" i="2"/>
  <c r="R274" i="2"/>
  <c r="S274" i="2" s="1"/>
  <c r="V273" i="2"/>
  <c r="R273" i="2"/>
  <c r="S273" i="2" s="1"/>
  <c r="V272" i="2"/>
  <c r="R272" i="2"/>
  <c r="S272" i="2" s="1"/>
  <c r="V271" i="2"/>
  <c r="R271" i="2"/>
  <c r="S271" i="2" s="1"/>
  <c r="V270" i="2"/>
  <c r="R270" i="2"/>
  <c r="S270" i="2" s="1"/>
  <c r="V269" i="2"/>
  <c r="R269" i="2"/>
  <c r="S269" i="2" s="1"/>
  <c r="V268" i="2"/>
  <c r="R268" i="2"/>
  <c r="S268" i="2" s="1"/>
  <c r="V267" i="2"/>
  <c r="R267" i="2"/>
  <c r="S267" i="2" s="1"/>
  <c r="V266" i="2"/>
  <c r="R266" i="2"/>
  <c r="S266" i="2" s="1"/>
  <c r="V265" i="2"/>
  <c r="R265" i="2"/>
  <c r="S265" i="2" s="1"/>
  <c r="V264" i="2"/>
  <c r="R264" i="2"/>
  <c r="S264" i="2" s="1"/>
  <c r="V263" i="2"/>
  <c r="R263" i="2"/>
  <c r="S263" i="2" s="1"/>
  <c r="V262" i="2"/>
  <c r="R262" i="2"/>
  <c r="S262" i="2" s="1"/>
  <c r="V261" i="2"/>
  <c r="R261" i="2"/>
  <c r="S261" i="2" s="1"/>
  <c r="V260" i="2"/>
  <c r="R260" i="2"/>
  <c r="S260" i="2" s="1"/>
  <c r="V259" i="2"/>
  <c r="R259" i="2"/>
  <c r="S259" i="2" s="1"/>
  <c r="V258" i="2"/>
  <c r="R258" i="2"/>
  <c r="S258" i="2" s="1"/>
  <c r="V257" i="2"/>
  <c r="R257" i="2"/>
  <c r="S257" i="2" s="1"/>
  <c r="V256" i="2"/>
  <c r="R256" i="2"/>
  <c r="S256" i="2" s="1"/>
  <c r="V255" i="2"/>
  <c r="R255" i="2"/>
  <c r="S255" i="2" s="1"/>
  <c r="V254" i="2"/>
  <c r="R254" i="2"/>
  <c r="S254" i="2" s="1"/>
  <c r="V253" i="2"/>
  <c r="R253" i="2"/>
  <c r="S253" i="2" s="1"/>
  <c r="V252" i="2"/>
  <c r="R252" i="2"/>
  <c r="S252" i="2" s="1"/>
  <c r="V251" i="2"/>
  <c r="R251" i="2"/>
  <c r="S251" i="2" s="1"/>
  <c r="V250" i="2"/>
  <c r="R250" i="2"/>
  <c r="S250" i="2" s="1"/>
  <c r="V249" i="2"/>
  <c r="R249" i="2"/>
  <c r="S249" i="2" s="1"/>
  <c r="V248" i="2"/>
  <c r="R248" i="2"/>
  <c r="S248" i="2" s="1"/>
  <c r="V247" i="2"/>
  <c r="R247" i="2"/>
  <c r="S247" i="2" s="1"/>
  <c r="V246" i="2"/>
  <c r="R246" i="2"/>
  <c r="S246" i="2" s="1"/>
  <c r="V245" i="2"/>
  <c r="R245" i="2"/>
  <c r="S245" i="2" s="1"/>
  <c r="V244" i="2"/>
  <c r="R244" i="2"/>
  <c r="S244" i="2" s="1"/>
  <c r="V243" i="2"/>
  <c r="R243" i="2"/>
  <c r="S243" i="2" s="1"/>
  <c r="V242" i="2"/>
  <c r="R242" i="2"/>
  <c r="S242" i="2" s="1"/>
  <c r="V241" i="2"/>
  <c r="R241" i="2"/>
  <c r="S241" i="2" s="1"/>
  <c r="V240" i="2"/>
  <c r="R240" i="2"/>
  <c r="S240" i="2" s="1"/>
  <c r="V239" i="2"/>
  <c r="R239" i="2"/>
  <c r="S239" i="2" s="1"/>
  <c r="V238" i="2"/>
  <c r="R238" i="2"/>
  <c r="S238" i="2" s="1"/>
  <c r="V237" i="2"/>
  <c r="R237" i="2"/>
  <c r="S237" i="2" s="1"/>
  <c r="V236" i="2"/>
  <c r="R236" i="2"/>
  <c r="S236" i="2" s="1"/>
  <c r="V235" i="2"/>
  <c r="R235" i="2"/>
  <c r="S235" i="2" s="1"/>
  <c r="V234" i="2"/>
  <c r="R234" i="2"/>
  <c r="S234" i="2" s="1"/>
  <c r="V233" i="2"/>
  <c r="R233" i="2"/>
  <c r="S233" i="2" s="1"/>
  <c r="V232" i="2"/>
  <c r="R232" i="2"/>
  <c r="S232" i="2" s="1"/>
  <c r="V231" i="2"/>
  <c r="R231" i="2"/>
  <c r="S231" i="2" s="1"/>
  <c r="V230" i="2"/>
  <c r="R230" i="2"/>
  <c r="S230" i="2" s="1"/>
  <c r="V229" i="2"/>
  <c r="R229" i="2"/>
  <c r="S229" i="2" s="1"/>
  <c r="V228" i="2"/>
  <c r="R228" i="2"/>
  <c r="S228" i="2" s="1"/>
  <c r="V227" i="2"/>
  <c r="R227" i="2"/>
  <c r="S227" i="2" s="1"/>
  <c r="V226" i="2"/>
  <c r="R226" i="2"/>
  <c r="S226" i="2" s="1"/>
  <c r="V225" i="2"/>
  <c r="R225" i="2"/>
  <c r="S225" i="2" s="1"/>
  <c r="V224" i="2"/>
  <c r="R224" i="2"/>
  <c r="S224" i="2" s="1"/>
  <c r="V223" i="2"/>
  <c r="R223" i="2"/>
  <c r="S223" i="2" s="1"/>
  <c r="V222" i="2"/>
  <c r="R222" i="2"/>
  <c r="S222" i="2" s="1"/>
  <c r="V221" i="2"/>
  <c r="R221" i="2"/>
  <c r="S221" i="2" s="1"/>
  <c r="V220" i="2"/>
  <c r="R220" i="2"/>
  <c r="S220" i="2" s="1"/>
  <c r="V219" i="2"/>
  <c r="R219" i="2"/>
  <c r="S219" i="2" s="1"/>
  <c r="V218" i="2"/>
  <c r="R218" i="2"/>
  <c r="S218" i="2" s="1"/>
  <c r="V217" i="2"/>
  <c r="R217" i="2"/>
  <c r="S217" i="2" s="1"/>
  <c r="V216" i="2"/>
  <c r="R216" i="2"/>
  <c r="S216" i="2" s="1"/>
  <c r="V215" i="2"/>
  <c r="R215" i="2"/>
  <c r="S215" i="2" s="1"/>
  <c r="V214" i="2"/>
  <c r="R214" i="2"/>
  <c r="S214" i="2" s="1"/>
  <c r="V213" i="2"/>
  <c r="R213" i="2"/>
  <c r="S213" i="2" s="1"/>
  <c r="V212" i="2"/>
  <c r="R212" i="2"/>
  <c r="S212" i="2" s="1"/>
  <c r="V211" i="2"/>
  <c r="R211" i="2"/>
  <c r="S211" i="2" s="1"/>
  <c r="V210" i="2"/>
  <c r="R210" i="2"/>
  <c r="S210" i="2" s="1"/>
  <c r="V209" i="2"/>
  <c r="R209" i="2"/>
  <c r="S209" i="2" s="1"/>
  <c r="V208" i="2"/>
  <c r="R208" i="2"/>
  <c r="S208" i="2" s="1"/>
  <c r="V207" i="2"/>
  <c r="R207" i="2"/>
  <c r="S207" i="2" s="1"/>
  <c r="V206" i="2"/>
  <c r="R206" i="2"/>
  <c r="S206" i="2" s="1"/>
  <c r="V205" i="2"/>
  <c r="R205" i="2"/>
  <c r="S205" i="2" s="1"/>
  <c r="V204" i="2"/>
  <c r="R204" i="2"/>
  <c r="S204" i="2" s="1"/>
  <c r="V203" i="2"/>
  <c r="R203" i="2"/>
  <c r="S203" i="2" s="1"/>
  <c r="V202" i="2"/>
  <c r="R202" i="2"/>
  <c r="S202" i="2" s="1"/>
  <c r="V201" i="2"/>
  <c r="R201" i="2"/>
  <c r="S201" i="2" s="1"/>
  <c r="V200" i="2"/>
  <c r="R200" i="2"/>
  <c r="S200" i="2" s="1"/>
  <c r="V199" i="2"/>
  <c r="R199" i="2"/>
  <c r="S199" i="2" s="1"/>
  <c r="V198" i="2"/>
  <c r="R198" i="2"/>
  <c r="S198" i="2" s="1"/>
  <c r="V197" i="2"/>
  <c r="R197" i="2"/>
  <c r="S197" i="2" s="1"/>
  <c r="V196" i="2"/>
  <c r="R196" i="2"/>
  <c r="S196" i="2" s="1"/>
  <c r="V195" i="2"/>
  <c r="R195" i="2"/>
  <c r="S195" i="2" s="1"/>
  <c r="V194" i="2"/>
  <c r="R194" i="2"/>
  <c r="S194" i="2" s="1"/>
  <c r="V193" i="2"/>
  <c r="R193" i="2"/>
  <c r="S193" i="2" s="1"/>
  <c r="V192" i="2"/>
  <c r="R192" i="2"/>
  <c r="S192" i="2" s="1"/>
  <c r="V191" i="2"/>
  <c r="R191" i="2"/>
  <c r="S191" i="2" s="1"/>
  <c r="V190" i="2"/>
  <c r="R190" i="2"/>
  <c r="S190" i="2" s="1"/>
  <c r="V189" i="2"/>
  <c r="R189" i="2"/>
  <c r="S189" i="2" s="1"/>
  <c r="V188" i="2"/>
  <c r="R188" i="2"/>
  <c r="S188" i="2" s="1"/>
  <c r="V187" i="2"/>
  <c r="R187" i="2"/>
  <c r="S187" i="2" s="1"/>
  <c r="V186" i="2"/>
  <c r="R186" i="2"/>
  <c r="S186" i="2" s="1"/>
  <c r="V185" i="2"/>
  <c r="R185" i="2"/>
  <c r="S185" i="2" s="1"/>
  <c r="V184" i="2"/>
  <c r="R184" i="2"/>
  <c r="S184" i="2" s="1"/>
  <c r="V183" i="2"/>
  <c r="R183" i="2"/>
  <c r="S183" i="2" s="1"/>
  <c r="V182" i="2"/>
  <c r="R182" i="2"/>
  <c r="S182" i="2" s="1"/>
  <c r="V181" i="2"/>
  <c r="R181" i="2"/>
  <c r="S181" i="2" s="1"/>
  <c r="V180" i="2"/>
  <c r="R180" i="2"/>
  <c r="S180" i="2" s="1"/>
  <c r="V179" i="2"/>
  <c r="R179" i="2"/>
  <c r="S179" i="2" s="1"/>
  <c r="V178" i="2"/>
  <c r="R178" i="2"/>
  <c r="S178" i="2" s="1"/>
  <c r="V177" i="2"/>
  <c r="R177" i="2"/>
  <c r="S177" i="2" s="1"/>
  <c r="V176" i="2"/>
  <c r="R176" i="2"/>
  <c r="S176" i="2" s="1"/>
  <c r="V175" i="2"/>
  <c r="R175" i="2"/>
  <c r="S175" i="2" s="1"/>
  <c r="V174" i="2"/>
  <c r="R174" i="2"/>
  <c r="S174" i="2" s="1"/>
  <c r="V173" i="2"/>
  <c r="R173" i="2"/>
  <c r="S173" i="2" s="1"/>
  <c r="V172" i="2"/>
  <c r="R172" i="2"/>
  <c r="S172" i="2" s="1"/>
  <c r="V171" i="2"/>
  <c r="R171" i="2"/>
  <c r="S171" i="2" s="1"/>
  <c r="V170" i="2"/>
  <c r="R170" i="2"/>
  <c r="S170" i="2" s="1"/>
  <c r="V169" i="2"/>
  <c r="R169" i="2"/>
  <c r="S169" i="2" s="1"/>
  <c r="V168" i="2"/>
  <c r="R168" i="2"/>
  <c r="S168" i="2" s="1"/>
  <c r="V167" i="2"/>
  <c r="R167" i="2"/>
  <c r="S167" i="2" s="1"/>
  <c r="V166" i="2"/>
  <c r="R166" i="2"/>
  <c r="S166" i="2" s="1"/>
  <c r="V165" i="2"/>
  <c r="R165" i="2"/>
  <c r="S165" i="2" s="1"/>
  <c r="V164" i="2"/>
  <c r="R164" i="2"/>
  <c r="S164" i="2" s="1"/>
  <c r="V163" i="2"/>
  <c r="R163" i="2"/>
  <c r="S163" i="2" s="1"/>
  <c r="V162" i="2"/>
  <c r="R162" i="2"/>
  <c r="S162" i="2" s="1"/>
  <c r="V161" i="2"/>
  <c r="R161" i="2"/>
  <c r="S161" i="2" s="1"/>
  <c r="V160" i="2"/>
  <c r="R160" i="2"/>
  <c r="S160" i="2" s="1"/>
  <c r="V159" i="2"/>
  <c r="R159" i="2"/>
  <c r="S159" i="2" s="1"/>
  <c r="V158" i="2"/>
  <c r="R158" i="2"/>
  <c r="S158" i="2" s="1"/>
  <c r="V157" i="2"/>
  <c r="R157" i="2"/>
  <c r="S157" i="2" s="1"/>
  <c r="V156" i="2"/>
  <c r="R156" i="2"/>
  <c r="S156" i="2" s="1"/>
  <c r="V155" i="2"/>
  <c r="R155" i="2"/>
  <c r="S155" i="2" s="1"/>
  <c r="V154" i="2"/>
  <c r="R154" i="2"/>
  <c r="S154" i="2" s="1"/>
  <c r="V153" i="2"/>
  <c r="R153" i="2"/>
  <c r="S153" i="2" s="1"/>
  <c r="V152" i="2"/>
  <c r="R152" i="2"/>
  <c r="S152" i="2" s="1"/>
  <c r="V151" i="2"/>
  <c r="R151" i="2"/>
  <c r="S151" i="2" s="1"/>
  <c r="V150" i="2"/>
  <c r="R150" i="2"/>
  <c r="S150" i="2" s="1"/>
  <c r="V149" i="2"/>
  <c r="R149" i="2"/>
  <c r="S149" i="2" s="1"/>
  <c r="V148" i="2"/>
  <c r="R148" i="2"/>
  <c r="S148" i="2" s="1"/>
  <c r="V147" i="2"/>
  <c r="R147" i="2"/>
  <c r="S147" i="2" s="1"/>
  <c r="V146" i="2"/>
  <c r="R146" i="2"/>
  <c r="S146" i="2" s="1"/>
  <c r="V145" i="2"/>
  <c r="R145" i="2"/>
  <c r="S145" i="2" s="1"/>
  <c r="V144" i="2"/>
  <c r="R144" i="2"/>
  <c r="S144" i="2" s="1"/>
  <c r="V143" i="2"/>
  <c r="R143" i="2"/>
  <c r="S143" i="2" s="1"/>
  <c r="V142" i="2"/>
  <c r="R142" i="2"/>
  <c r="S142" i="2" s="1"/>
  <c r="V141" i="2"/>
  <c r="R141" i="2"/>
  <c r="S141" i="2" s="1"/>
  <c r="V140" i="2"/>
  <c r="R140" i="2"/>
  <c r="S140" i="2" s="1"/>
  <c r="V139" i="2"/>
  <c r="R139" i="2"/>
  <c r="S139" i="2" s="1"/>
  <c r="V138" i="2"/>
  <c r="R138" i="2"/>
  <c r="S138" i="2" s="1"/>
  <c r="V137" i="2"/>
  <c r="R137" i="2"/>
  <c r="S137" i="2" s="1"/>
  <c r="V136" i="2"/>
  <c r="R136" i="2"/>
  <c r="S136" i="2" s="1"/>
  <c r="V135" i="2"/>
  <c r="R135" i="2"/>
  <c r="S135" i="2" s="1"/>
  <c r="V134" i="2"/>
  <c r="R134" i="2"/>
  <c r="S134" i="2" s="1"/>
  <c r="V133" i="2"/>
  <c r="R133" i="2"/>
  <c r="S133" i="2" s="1"/>
  <c r="V132" i="2"/>
  <c r="R132" i="2"/>
  <c r="S132" i="2" s="1"/>
  <c r="V131" i="2"/>
  <c r="R131" i="2"/>
  <c r="S131" i="2" s="1"/>
  <c r="V130" i="2"/>
  <c r="R130" i="2"/>
  <c r="S130" i="2" s="1"/>
  <c r="V129" i="2"/>
  <c r="R129" i="2"/>
  <c r="S129" i="2" s="1"/>
  <c r="V128" i="2"/>
  <c r="R128" i="2"/>
  <c r="S128" i="2" s="1"/>
  <c r="V127" i="2"/>
  <c r="R127" i="2"/>
  <c r="S127" i="2" s="1"/>
  <c r="V126" i="2"/>
  <c r="R126" i="2"/>
  <c r="S126" i="2" s="1"/>
  <c r="V125" i="2"/>
  <c r="R125" i="2"/>
  <c r="S125" i="2" s="1"/>
  <c r="V124" i="2"/>
  <c r="R124" i="2"/>
  <c r="S124" i="2" s="1"/>
  <c r="V123" i="2"/>
  <c r="R123" i="2"/>
  <c r="S123" i="2" s="1"/>
  <c r="V122" i="2"/>
  <c r="R122" i="2"/>
  <c r="S122" i="2" s="1"/>
  <c r="V121" i="2"/>
  <c r="R121" i="2"/>
  <c r="S121" i="2" s="1"/>
  <c r="V120" i="2"/>
  <c r="R120" i="2"/>
  <c r="S120" i="2" s="1"/>
  <c r="V119" i="2"/>
  <c r="R119" i="2"/>
  <c r="S119" i="2" s="1"/>
  <c r="V118" i="2"/>
  <c r="R118" i="2"/>
  <c r="S118" i="2" s="1"/>
  <c r="V117" i="2"/>
  <c r="R117" i="2"/>
  <c r="S117" i="2" s="1"/>
  <c r="V116" i="2"/>
  <c r="R116" i="2"/>
  <c r="S116" i="2" s="1"/>
  <c r="V115" i="2"/>
  <c r="R115" i="2"/>
  <c r="S115" i="2" s="1"/>
  <c r="V114" i="2"/>
  <c r="R114" i="2"/>
  <c r="S114" i="2" s="1"/>
  <c r="V113" i="2"/>
  <c r="R113" i="2"/>
  <c r="S113" i="2" s="1"/>
  <c r="V112" i="2"/>
  <c r="R112" i="2"/>
  <c r="S112" i="2" s="1"/>
  <c r="V111" i="2"/>
  <c r="R111" i="2"/>
  <c r="S111" i="2" s="1"/>
  <c r="V110" i="2"/>
  <c r="R110" i="2"/>
  <c r="S110" i="2" s="1"/>
  <c r="V109" i="2"/>
  <c r="R109" i="2"/>
  <c r="S109" i="2" s="1"/>
  <c r="V108" i="2"/>
  <c r="R108" i="2"/>
  <c r="S108" i="2" s="1"/>
  <c r="V107" i="2"/>
  <c r="R107" i="2"/>
  <c r="S107" i="2" s="1"/>
  <c r="V106" i="2"/>
  <c r="R106" i="2"/>
  <c r="S106" i="2" s="1"/>
  <c r="V105" i="2"/>
  <c r="R105" i="2"/>
  <c r="S105" i="2" s="1"/>
  <c r="V104" i="2"/>
  <c r="R104" i="2"/>
  <c r="S104" i="2" s="1"/>
  <c r="V103" i="2"/>
  <c r="R103" i="2"/>
  <c r="S103" i="2" s="1"/>
  <c r="V102" i="2"/>
  <c r="R102" i="2"/>
  <c r="S102" i="2" s="1"/>
  <c r="V101" i="2"/>
  <c r="R101" i="2"/>
  <c r="S101" i="2" s="1"/>
  <c r="V100" i="2"/>
  <c r="R100" i="2"/>
  <c r="S100" i="2" s="1"/>
  <c r="V99" i="2"/>
  <c r="R99" i="2"/>
  <c r="S99" i="2" s="1"/>
  <c r="V98" i="2"/>
  <c r="R98" i="2"/>
  <c r="S98" i="2" s="1"/>
  <c r="V97" i="2"/>
  <c r="R97" i="2"/>
  <c r="S97" i="2" s="1"/>
  <c r="V96" i="2"/>
  <c r="R96" i="2"/>
  <c r="S96" i="2" s="1"/>
  <c r="V95" i="2"/>
  <c r="R95" i="2"/>
  <c r="S95" i="2" s="1"/>
  <c r="V94" i="2"/>
  <c r="R94" i="2"/>
  <c r="S94" i="2" s="1"/>
  <c r="V93" i="2"/>
  <c r="R93" i="2"/>
  <c r="S93" i="2" s="1"/>
  <c r="V92" i="2"/>
  <c r="R92" i="2"/>
  <c r="S92" i="2" s="1"/>
  <c r="V91" i="2"/>
  <c r="R91" i="2"/>
  <c r="S91" i="2" s="1"/>
  <c r="V90" i="2"/>
  <c r="R90" i="2"/>
  <c r="S90" i="2" s="1"/>
  <c r="V89" i="2"/>
  <c r="R89" i="2"/>
  <c r="S89" i="2" s="1"/>
  <c r="V88" i="2"/>
  <c r="R88" i="2"/>
  <c r="S88" i="2" s="1"/>
  <c r="V87" i="2"/>
  <c r="R87" i="2"/>
  <c r="S87" i="2" s="1"/>
  <c r="V86" i="2"/>
  <c r="R86" i="2"/>
  <c r="S86" i="2" s="1"/>
  <c r="V85" i="2"/>
  <c r="R85" i="2"/>
  <c r="S85" i="2" s="1"/>
  <c r="V84" i="2"/>
  <c r="R84" i="2"/>
  <c r="S84" i="2" s="1"/>
  <c r="V83" i="2"/>
  <c r="R83" i="2"/>
  <c r="S83" i="2" s="1"/>
  <c r="V82" i="2"/>
  <c r="R82" i="2"/>
  <c r="S82" i="2" s="1"/>
  <c r="V81" i="2"/>
  <c r="R81" i="2"/>
  <c r="S81" i="2" s="1"/>
  <c r="V80" i="2"/>
  <c r="R80" i="2"/>
  <c r="S80" i="2" s="1"/>
  <c r="V79" i="2"/>
  <c r="R79" i="2"/>
  <c r="S79" i="2" s="1"/>
  <c r="V78" i="2"/>
  <c r="R78" i="2"/>
  <c r="S78" i="2" s="1"/>
  <c r="V77" i="2"/>
  <c r="R77" i="2"/>
  <c r="S77" i="2" s="1"/>
  <c r="V76" i="2"/>
  <c r="R76" i="2"/>
  <c r="S76" i="2" s="1"/>
  <c r="V75" i="2"/>
  <c r="R75" i="2"/>
  <c r="S75" i="2" s="1"/>
  <c r="V74" i="2"/>
  <c r="R74" i="2"/>
  <c r="S74" i="2" s="1"/>
  <c r="V73" i="2"/>
  <c r="R73" i="2"/>
  <c r="S73" i="2" s="1"/>
  <c r="V72" i="2"/>
  <c r="R72" i="2"/>
  <c r="S72" i="2" s="1"/>
  <c r="V71" i="2"/>
  <c r="R71" i="2"/>
  <c r="S71" i="2" s="1"/>
  <c r="V70" i="2"/>
  <c r="R70" i="2"/>
  <c r="S70" i="2" s="1"/>
  <c r="V69" i="2"/>
  <c r="R69" i="2"/>
  <c r="S69" i="2" s="1"/>
  <c r="V68" i="2"/>
  <c r="R68" i="2"/>
  <c r="S68" i="2" s="1"/>
  <c r="V67" i="2"/>
  <c r="R67" i="2"/>
  <c r="S67" i="2" s="1"/>
  <c r="V66" i="2"/>
  <c r="R66" i="2"/>
  <c r="S66" i="2" s="1"/>
  <c r="V65" i="2"/>
  <c r="R65" i="2"/>
  <c r="S65" i="2" s="1"/>
  <c r="V64" i="2"/>
  <c r="R64" i="2"/>
  <c r="S64" i="2" s="1"/>
  <c r="V63" i="2"/>
  <c r="R63" i="2"/>
  <c r="S63" i="2" s="1"/>
  <c r="V62" i="2"/>
  <c r="R62" i="2"/>
  <c r="S62" i="2" s="1"/>
  <c r="V61" i="2"/>
  <c r="R61" i="2"/>
  <c r="S61" i="2" s="1"/>
  <c r="V60" i="2"/>
  <c r="R60" i="2"/>
  <c r="S60" i="2" s="1"/>
  <c r="V59" i="2"/>
  <c r="R59" i="2"/>
  <c r="S59" i="2" s="1"/>
  <c r="V58" i="2"/>
  <c r="R58" i="2"/>
  <c r="S58" i="2" s="1"/>
  <c r="V57" i="2"/>
  <c r="R57" i="2"/>
  <c r="S57" i="2" s="1"/>
  <c r="V56" i="2"/>
  <c r="R56" i="2"/>
  <c r="S56" i="2" s="1"/>
  <c r="V55" i="2"/>
  <c r="R55" i="2"/>
  <c r="S55" i="2" s="1"/>
  <c r="V54" i="2"/>
  <c r="R54" i="2"/>
  <c r="S54" i="2" s="1"/>
  <c r="V53" i="2"/>
  <c r="R53" i="2"/>
  <c r="S53" i="2" s="1"/>
  <c r="V52" i="2"/>
  <c r="R52" i="2"/>
  <c r="S52" i="2" s="1"/>
  <c r="V51" i="2"/>
  <c r="R51" i="2"/>
  <c r="S51" i="2" s="1"/>
  <c r="V50" i="2"/>
  <c r="R50" i="2"/>
  <c r="S50" i="2" s="1"/>
  <c r="V49" i="2"/>
  <c r="R49" i="2"/>
  <c r="S49" i="2" s="1"/>
  <c r="V48" i="2"/>
  <c r="R48" i="2"/>
  <c r="S48" i="2" s="1"/>
  <c r="V47" i="2"/>
  <c r="R47" i="2"/>
  <c r="S47" i="2" s="1"/>
  <c r="V46" i="2"/>
  <c r="R46" i="2"/>
  <c r="S46" i="2" s="1"/>
  <c r="V45" i="2"/>
  <c r="R45" i="2"/>
  <c r="S45" i="2" s="1"/>
  <c r="V44" i="2"/>
  <c r="R44" i="2"/>
  <c r="S44" i="2" s="1"/>
  <c r="V43" i="2"/>
  <c r="R43" i="2"/>
  <c r="S43" i="2" s="1"/>
  <c r="V42" i="2"/>
  <c r="R42" i="2"/>
  <c r="S42" i="2" s="1"/>
  <c r="V41" i="2"/>
  <c r="R41" i="2"/>
  <c r="S41" i="2" s="1"/>
  <c r="V40" i="2"/>
  <c r="R40" i="2"/>
  <c r="S40" i="2" s="1"/>
  <c r="V39" i="2"/>
  <c r="R39" i="2"/>
  <c r="S39" i="2" s="1"/>
  <c r="V38" i="2"/>
  <c r="R38" i="2"/>
  <c r="S38" i="2" s="1"/>
  <c r="V37" i="2"/>
  <c r="R37" i="2"/>
  <c r="S37" i="2" s="1"/>
  <c r="V36" i="2"/>
  <c r="R36" i="2"/>
  <c r="S36" i="2" s="1"/>
  <c r="V35" i="2"/>
  <c r="R35" i="2"/>
  <c r="S35" i="2" s="1"/>
  <c r="V34" i="2"/>
  <c r="R34" i="2"/>
  <c r="S34" i="2" s="1"/>
  <c r="V33" i="2"/>
  <c r="R33" i="2"/>
  <c r="S33" i="2" s="1"/>
  <c r="V32" i="2"/>
  <c r="R32" i="2"/>
  <c r="S32" i="2" s="1"/>
  <c r="V31" i="2"/>
  <c r="R31" i="2"/>
  <c r="S31" i="2" s="1"/>
  <c r="V30" i="2"/>
  <c r="R30" i="2"/>
  <c r="S30" i="2" s="1"/>
  <c r="V29" i="2"/>
  <c r="R29" i="2"/>
  <c r="S29" i="2" s="1"/>
  <c r="V28" i="2"/>
  <c r="R28" i="2"/>
  <c r="S28" i="2" s="1"/>
  <c r="V27" i="2"/>
  <c r="R27" i="2"/>
  <c r="S27" i="2" s="1"/>
  <c r="V26" i="2"/>
  <c r="R26" i="2"/>
  <c r="S26" i="2" s="1"/>
  <c r="V25" i="2"/>
  <c r="R25" i="2"/>
  <c r="S25" i="2" s="1"/>
  <c r="V24" i="2"/>
  <c r="R24" i="2"/>
  <c r="S24" i="2" s="1"/>
  <c r="V23" i="2"/>
  <c r="R23" i="2"/>
  <c r="S23" i="2" s="1"/>
  <c r="V22" i="2"/>
  <c r="R22" i="2"/>
  <c r="S22" i="2" s="1"/>
  <c r="V21" i="2"/>
  <c r="R21" i="2"/>
  <c r="S21" i="2" s="1"/>
  <c r="V20" i="2"/>
  <c r="R20" i="2"/>
  <c r="S20" i="2" s="1"/>
  <c r="V19" i="2"/>
  <c r="R19" i="2"/>
  <c r="S19" i="2" s="1"/>
  <c r="V18" i="2"/>
  <c r="R18" i="2"/>
  <c r="S18" i="2" s="1"/>
  <c r="V17" i="2"/>
  <c r="R17" i="2"/>
  <c r="S17" i="2" s="1"/>
  <c r="V16" i="2"/>
  <c r="R16" i="2"/>
  <c r="S16" i="2" s="1"/>
  <c r="V15" i="2"/>
  <c r="R15" i="2"/>
  <c r="S15" i="2" s="1"/>
  <c r="V14" i="2"/>
  <c r="R14" i="2"/>
  <c r="S14" i="2" s="1"/>
  <c r="V13" i="2"/>
  <c r="R13" i="2"/>
  <c r="S13" i="2" s="1"/>
  <c r="V12" i="2"/>
  <c r="R12" i="2"/>
  <c r="S12" i="2" s="1"/>
  <c r="V11" i="2"/>
  <c r="R11" i="2"/>
  <c r="S11" i="2" s="1"/>
  <c r="V10" i="2"/>
  <c r="R10" i="2"/>
  <c r="S10" i="2" s="1"/>
  <c r="V9" i="2"/>
  <c r="R9" i="2"/>
  <c r="S9" i="2" s="1"/>
  <c r="V8" i="2"/>
  <c r="R8" i="2"/>
  <c r="S8" i="2" s="1"/>
  <c r="V7" i="2"/>
  <c r="R7" i="2"/>
  <c r="S7" i="2" s="1"/>
  <c r="V6" i="2"/>
  <c r="R6" i="2"/>
  <c r="S6" i="2" s="1"/>
  <c r="V5" i="2"/>
  <c r="R5" i="2"/>
  <c r="S5" i="2" s="1"/>
  <c r="V4" i="2"/>
  <c r="R4" i="2"/>
  <c r="S4" i="2" s="1"/>
  <c r="V3" i="2"/>
  <c r="R3" i="2"/>
  <c r="S3" i="2" s="1"/>
  <c r="V2" i="2"/>
  <c r="R2" i="2"/>
  <c r="R412" i="2" l="1"/>
  <c r="S412" i="2" s="1"/>
  <c r="S2" i="2"/>
</calcChain>
</file>

<file path=xl/sharedStrings.xml><?xml version="1.0" encoding="utf-8"?>
<sst xmlns="http://schemas.openxmlformats.org/spreadsheetml/2006/main" count="5573" uniqueCount="640">
  <si>
    <t>Contoso Freight Group (CFG)</t>
  </si>
  <si>
    <t>Operations &amp; Finance Demo Dataset  |  FICTIONAL DATA FOR M365 COPILOT TRAINING</t>
  </si>
  <si>
    <t>COMPANY PROFILE</t>
  </si>
  <si>
    <t>Legal entity</t>
  </si>
  <si>
    <t>Contoso Freight Group, LLC (CFG)</t>
  </si>
  <si>
    <t>Parent (former)</t>
  </si>
  <si>
    <t>Meridian Global Logistics (MGL)</t>
  </si>
  <si>
    <t>Status</t>
  </si>
  <si>
    <t>Divested from MGL; operating independently since June 1, 2026</t>
  </si>
  <si>
    <t>Headquarters</t>
  </si>
  <si>
    <t>Chicago, IL</t>
  </si>
  <si>
    <t>U.S. gateways</t>
  </si>
  <si>
    <t>Long Beach (CA), Newark (NJ), Miami (FL), Chicago ORD (air), Laredo (customs)</t>
  </si>
  <si>
    <t>Services</t>
  </si>
  <si>
    <t>Ocean freight forwarding, air freight, customs brokerage, drayage/intermodal</t>
  </si>
  <si>
    <t>Employees</t>
  </si>
  <si>
    <t>~110 budgeted (97 filled)</t>
  </si>
  <si>
    <t>Transition Services Agreement</t>
  </si>
  <si>
    <t>9-month TSA with MGL (IT, payroll, finance systems); exit by Feb 28, 2027</t>
  </si>
  <si>
    <t>Reporting period</t>
  </si>
  <si>
    <t>January 1 - June 2, 2026 (shipment level)</t>
  </si>
  <si>
    <t>HOW TO USE THIS WORKBOOK</t>
  </si>
  <si>
    <t>Primary data</t>
  </si>
  <si>
    <t>The 'Shipments' sheet is the raw transaction log - 500+ records. Point Copilot at it to discover insights.</t>
  </si>
  <si>
    <t>Suggested discovery prompt</t>
  </si>
  <si>
    <t>Analyze the Shipments sheet. Identify the top trends and risks for Contoso Freight as a newly independent company, then build summary tables for: revenue &amp; margin by trade lane, on-time performance by gateway by month, and customer revenue concentration. Call out anything that needs leadership attention.</t>
  </si>
  <si>
    <t>Supporting data</t>
  </si>
  <si>
    <t>Customers, Invoices, and Headcount are raw master tables Copilot can join or aggregate.</t>
  </si>
  <si>
    <t>DATA DICTIONARY - Shipments</t>
  </si>
  <si>
    <t>Shipment ID</t>
  </si>
  <si>
    <t>Unique booking reference</t>
  </si>
  <si>
    <t>Booking / Ship / Delivery Date</t>
  </si>
  <si>
    <t>Lifecycle dates</t>
  </si>
  <si>
    <t>Mode / Service Level</t>
  </si>
  <si>
    <t>Ocean, Air, Customs / Standard, Express, Deferred</t>
  </si>
  <si>
    <t>Lane / Gateway</t>
  </si>
  <si>
    <t>Origin-destination pair and the U.S. entry point</t>
  </si>
  <si>
    <t>Units / Weight (kg)</t>
  </si>
  <si>
    <t>TEU for ocean, tonnes for air; chargeable weight</t>
  </si>
  <si>
    <t>Revenue / Cost / Margin / Margin %</t>
  </si>
  <si>
    <t>Per-shipment economics (Margin = Revenue - Cost)</t>
  </si>
  <si>
    <t>Planned vs Actual Transit (days)</t>
  </si>
  <si>
    <t>Used to derive on-time; On-Time = Actual &lt;= Planned + 1 day grace</t>
  </si>
  <si>
    <t>Delivered, In Transit, At Origin, Customs Hold</t>
  </si>
  <si>
    <t>Note</t>
  </si>
  <si>
    <t>All names, numbers, and events are fictional. Use only in a demo or sandbox tenant.</t>
  </si>
  <si>
    <t>Booking Date</t>
  </si>
  <si>
    <t>Ship Date</t>
  </si>
  <si>
    <t>Delivery Date</t>
  </si>
  <si>
    <t>Mode</t>
  </si>
  <si>
    <t>Service Level</t>
  </si>
  <si>
    <t>Origin</t>
  </si>
  <si>
    <t>Destination</t>
  </si>
  <si>
    <t>Lane</t>
  </si>
  <si>
    <t>Gateway</t>
  </si>
  <si>
    <t>Customer</t>
  </si>
  <si>
    <t>Industry</t>
  </si>
  <si>
    <t>Container Type</t>
  </si>
  <si>
    <t>Units</t>
  </si>
  <si>
    <t>Weight (kg)</t>
  </si>
  <si>
    <t>Revenue ($)</t>
  </si>
  <si>
    <t>Cost ($)</t>
  </si>
  <si>
    <t>Margin ($)</t>
  </si>
  <si>
    <t>Margin %</t>
  </si>
  <si>
    <t>Planned Transit (days)</t>
  </si>
  <si>
    <t>Actual Transit (days)</t>
  </si>
  <si>
    <t>On-Time</t>
  </si>
  <si>
    <t>Sales Rep</t>
  </si>
  <si>
    <t>Incoterm</t>
  </si>
  <si>
    <t>CFG-10196</t>
  </si>
  <si>
    <t>Customs</t>
  </si>
  <si>
    <t>Deferred</t>
  </si>
  <si>
    <t>Mexico City, MX</t>
  </si>
  <si>
    <t>Laredo, TX</t>
  </si>
  <si>
    <t>Mexico City-Laredo</t>
  </si>
  <si>
    <t>Laredo</t>
  </si>
  <si>
    <t>Continental Auto Parts</t>
  </si>
  <si>
    <t>Automotive</t>
  </si>
  <si>
    <t>LTL</t>
  </si>
  <si>
    <t>Delivered</t>
  </si>
  <si>
    <t>Marcus Lindqvist</t>
  </si>
  <si>
    <t>FOB</t>
  </si>
  <si>
    <t>CFG-10834</t>
  </si>
  <si>
    <t>Ocean</t>
  </si>
  <si>
    <t>Priority</t>
  </si>
  <si>
    <t>Shanghai, CN</t>
  </si>
  <si>
    <t>Long Beach, CA</t>
  </si>
  <si>
    <t>Shanghai-Long Beach</t>
  </si>
  <si>
    <t>Long Beach</t>
  </si>
  <si>
    <t>Cobalt Industrial Supply</t>
  </si>
  <si>
    <t>Industrial / MRO</t>
  </si>
  <si>
    <t>45HC</t>
  </si>
  <si>
    <t>CIF</t>
  </si>
  <si>
    <t>CFG-10271</t>
  </si>
  <si>
    <t>EXW</t>
  </si>
  <si>
    <t>CFG-10208</t>
  </si>
  <si>
    <t>Standard</t>
  </si>
  <si>
    <t>CFG-10257</t>
  </si>
  <si>
    <t>Rotterdam, NL</t>
  </si>
  <si>
    <t>Newark, NJ</t>
  </si>
  <si>
    <t>Rotterdam-Newark</t>
  </si>
  <si>
    <t>Newark</t>
  </si>
  <si>
    <t>CFG-10727</t>
  </si>
  <si>
    <t>Air</t>
  </si>
  <si>
    <t>Frankfurt, DE</t>
  </si>
  <si>
    <t>Miami, FL</t>
  </si>
  <si>
    <t>Frankfurt-Miami</t>
  </si>
  <si>
    <t>Miami</t>
  </si>
  <si>
    <t>Meridian Pharma</t>
  </si>
  <si>
    <t>Pharmaceuticals</t>
  </si>
  <si>
    <t>ULD</t>
  </si>
  <si>
    <t>Dana Whitfield</t>
  </si>
  <si>
    <t>CFG-10499</t>
  </si>
  <si>
    <t>Sunrise Produce Co.</t>
  </si>
  <si>
    <t>Perishables / Reefer</t>
  </si>
  <si>
    <t>Loose</t>
  </si>
  <si>
    <t>Priya Raman</t>
  </si>
  <si>
    <t>FCA</t>
  </si>
  <si>
    <t>CFG-10735</t>
  </si>
  <si>
    <t>Chicago ORD, IL</t>
  </si>
  <si>
    <t>Shanghai-Chicago</t>
  </si>
  <si>
    <t>Chicago ORD</t>
  </si>
  <si>
    <t>CFG-10693</t>
  </si>
  <si>
    <t>GreenField Agriculture</t>
  </si>
  <si>
    <t>Agriculture Exports</t>
  </si>
  <si>
    <t>CFG-10876</t>
  </si>
  <si>
    <t>Shenzhen, CN</t>
  </si>
  <si>
    <t>Shenzhen-Long Beach</t>
  </si>
  <si>
    <t>Harborview Apparel</t>
  </si>
  <si>
    <t>Apparel / Textiles</t>
  </si>
  <si>
    <t>20GP</t>
  </si>
  <si>
    <t>CFG-10602</t>
  </si>
  <si>
    <t>Bogota, CO</t>
  </si>
  <si>
    <t>Bogota-Miami</t>
  </si>
  <si>
    <t>Customs Hold</t>
  </si>
  <si>
    <t>CFG-10213</t>
  </si>
  <si>
    <t>40GP</t>
  </si>
  <si>
    <t>DAP</t>
  </si>
  <si>
    <t>CFG-10879</t>
  </si>
  <si>
    <t>CFG-10779</t>
  </si>
  <si>
    <t>Ningbo, CN</t>
  </si>
  <si>
    <t>Ningbo-Long Beach</t>
  </si>
  <si>
    <t>CFG-10746</t>
  </si>
  <si>
    <t>Pallet</t>
  </si>
  <si>
    <t>CFG-10512</t>
  </si>
  <si>
    <t>CFG-10553</t>
  </si>
  <si>
    <t>CFG-10796</t>
  </si>
  <si>
    <t>Reefer 40</t>
  </si>
  <si>
    <t>CFG-10959</t>
  </si>
  <si>
    <t>Express</t>
  </si>
  <si>
    <t>Hong Kong, HK</t>
  </si>
  <si>
    <t>Hong Kong-Chicago</t>
  </si>
  <si>
    <t>Summit Outdoor Gear</t>
  </si>
  <si>
    <t>Sporting Goods</t>
  </si>
  <si>
    <t>CFG-10237</t>
  </si>
  <si>
    <t>CFG-10079</t>
  </si>
  <si>
    <t>Pacific Rim Imports</t>
  </si>
  <si>
    <t>Retail / Consumer Goods</t>
  </si>
  <si>
    <t>CFG-10088</t>
  </si>
  <si>
    <t>CFG-10397</t>
  </si>
  <si>
    <t>Apex Electronics</t>
  </si>
  <si>
    <t>Technology Hardware</t>
  </si>
  <si>
    <t>CFG-10360</t>
  </si>
  <si>
    <t>Antwerp, BE</t>
  </si>
  <si>
    <t>Antwerp-Newark</t>
  </si>
  <si>
    <t>Nordic Furnishings</t>
  </si>
  <si>
    <t>Home Goods</t>
  </si>
  <si>
    <t>40HC</t>
  </si>
  <si>
    <t>CFG-10893</t>
  </si>
  <si>
    <t>CFG-10120</t>
  </si>
  <si>
    <t>CFG-10794</t>
  </si>
  <si>
    <t>CFG-10580</t>
  </si>
  <si>
    <t>CFG-10439</t>
  </si>
  <si>
    <t>CFG-10887</t>
  </si>
  <si>
    <t>CFG-10247</t>
  </si>
  <si>
    <t>CFG-10888</t>
  </si>
  <si>
    <t>CFG-10904</t>
  </si>
  <si>
    <t>CFG-10287</t>
  </si>
  <si>
    <t>CFG-10044</t>
  </si>
  <si>
    <t>CFG-10564</t>
  </si>
  <si>
    <t>CFG-10100</t>
  </si>
  <si>
    <t>CFG-10803</t>
  </si>
  <si>
    <t>CFG-10572</t>
  </si>
  <si>
    <t>In Transit</t>
  </si>
  <si>
    <t>CFG-10014</t>
  </si>
  <si>
    <t>CFG-10421</t>
  </si>
  <si>
    <t>CFG-10858</t>
  </si>
  <si>
    <t>CFG-10891</t>
  </si>
  <si>
    <t>CFG-10124</t>
  </si>
  <si>
    <t>CFG-10495</t>
  </si>
  <si>
    <t>CFG-10054</t>
  </si>
  <si>
    <t>CFG-10066</t>
  </si>
  <si>
    <t>CFG-10149</t>
  </si>
  <si>
    <t>CFG-10477</t>
  </si>
  <si>
    <t>CFG-10109</t>
  </si>
  <si>
    <t>CFG-10132</t>
  </si>
  <si>
    <t>At Origin</t>
  </si>
  <si>
    <t>CFG-10610</t>
  </si>
  <si>
    <t>CFG-10324</t>
  </si>
  <si>
    <t>CFG-10830</t>
  </si>
  <si>
    <t>CFG-10277</t>
  </si>
  <si>
    <t>CFG-10980</t>
  </si>
  <si>
    <t>CFG-10400</t>
  </si>
  <si>
    <t>CFG-10030</t>
  </si>
  <si>
    <t>CFG-10662</t>
  </si>
  <si>
    <t>CFG-10318</t>
  </si>
  <si>
    <t>CFG-10679</t>
  </si>
  <si>
    <t>CFG-10336</t>
  </si>
  <si>
    <t>CFG-10252</t>
  </si>
  <si>
    <t>CFG-10742</t>
  </si>
  <si>
    <t>CFG-10319</t>
  </si>
  <si>
    <t>CFG-10968</t>
  </si>
  <si>
    <t>CFG-10846</t>
  </si>
  <si>
    <t>CFG-10327</t>
  </si>
  <si>
    <t>CFG-10278</t>
  </si>
  <si>
    <t>CFG-10427</t>
  </si>
  <si>
    <t>CFG-10874</t>
  </si>
  <si>
    <t>CFG-10186</t>
  </si>
  <si>
    <t>CFG-10616</t>
  </si>
  <si>
    <t>Truckload</t>
  </si>
  <si>
    <t>CFG-10406</t>
  </si>
  <si>
    <t>CFG-10594</t>
  </si>
  <si>
    <t>CFG-10105</t>
  </si>
  <si>
    <t>CFG-10957</t>
  </si>
  <si>
    <t>CFG-10331</t>
  </si>
  <si>
    <t>CFG-10871</t>
  </si>
  <si>
    <t>CFG-10155</t>
  </si>
  <si>
    <t>CFG-10651</t>
  </si>
  <si>
    <t>CFG-10077</t>
  </si>
  <si>
    <t>CFG-10448</t>
  </si>
  <si>
    <t>CFG-10943</t>
  </si>
  <si>
    <t>CFG-10728</t>
  </si>
  <si>
    <t>CFG-10073</t>
  </si>
  <si>
    <t>CFG-10338</t>
  </si>
  <si>
    <t>CFG-10474</t>
  </si>
  <si>
    <t>CFG-10669</t>
  </si>
  <si>
    <t>CFG-10632</t>
  </si>
  <si>
    <t>CFG-10556</t>
  </si>
  <si>
    <t>CFG-10182</t>
  </si>
  <si>
    <t>CFG-10922</t>
  </si>
  <si>
    <t>CFG-10759</t>
  </si>
  <si>
    <t>CFG-10408</t>
  </si>
  <si>
    <t>CFG-10838</t>
  </si>
  <si>
    <t>CFG-10883</t>
  </si>
  <si>
    <t>CFG-10592</t>
  </si>
  <si>
    <t>CFG-10141</t>
  </si>
  <si>
    <t>CFG-10859</t>
  </si>
  <si>
    <t>CFG-10305</t>
  </si>
  <si>
    <t>CFG-10805</t>
  </si>
  <si>
    <t>CFG-10190</t>
  </si>
  <si>
    <t>CFG-10732</t>
  </si>
  <si>
    <t>CFG-10975</t>
  </si>
  <si>
    <t>CFG-10372</t>
  </si>
  <si>
    <t>CFG-10653</t>
  </si>
  <si>
    <t>CFG-10828</t>
  </si>
  <si>
    <t>CFG-10604</t>
  </si>
  <si>
    <t>CFG-10098</t>
  </si>
  <si>
    <t>CFG-10366</t>
  </si>
  <si>
    <t>CFG-10005</t>
  </si>
  <si>
    <t>CFG-10505</t>
  </si>
  <si>
    <t>CFG-10685</t>
  </si>
  <si>
    <t>CFG-10127</t>
  </si>
  <si>
    <t>CFG-10136</t>
  </si>
  <si>
    <t>CFG-10885</t>
  </si>
  <si>
    <t>CFG-10539</t>
  </si>
  <si>
    <t>CFG-10942</t>
  </si>
  <si>
    <t>CFG-10239</t>
  </si>
  <si>
    <t>CFG-10635</t>
  </si>
  <si>
    <t>CFG-10695</t>
  </si>
  <si>
    <t>CFG-10941</t>
  </si>
  <si>
    <t>CFG-10288</t>
  </si>
  <si>
    <t>CFG-10657</t>
  </si>
  <si>
    <t>CFG-10065</t>
  </si>
  <si>
    <t>CFG-10522</t>
  </si>
  <si>
    <t>CFG-10303</t>
  </si>
  <si>
    <t>CFG-10308</t>
  </si>
  <si>
    <t>CFG-10214</t>
  </si>
  <si>
    <t>CFG-10911</t>
  </si>
  <si>
    <t>CFG-10896</t>
  </si>
  <si>
    <t>CFG-10628</t>
  </si>
  <si>
    <t>CFG-10039</t>
  </si>
  <si>
    <t>CFG-10422</t>
  </si>
  <si>
    <t>CFG-10061</t>
  </si>
  <si>
    <t>CFG-10508</t>
  </si>
  <si>
    <t>CFG-10906</t>
  </si>
  <si>
    <t>CFG-10928</t>
  </si>
  <si>
    <t>CFG-10934</t>
  </si>
  <si>
    <t>CFG-10042</t>
  </si>
  <si>
    <t>CFG-10412</t>
  </si>
  <si>
    <t>CFG-10161</t>
  </si>
  <si>
    <t>CFG-10844</t>
  </si>
  <si>
    <t>CFG-10609</t>
  </si>
  <si>
    <t>CFG-10817</t>
  </si>
  <si>
    <t>CFG-10200</t>
  </si>
  <si>
    <t>CFG-10931</t>
  </si>
  <si>
    <t>CFG-10967</t>
  </si>
  <si>
    <t>CFG-10945</t>
  </si>
  <si>
    <t>CFG-10613</t>
  </si>
  <si>
    <t>CFG-10676</t>
  </si>
  <si>
    <t>CFG-10675</t>
  </si>
  <si>
    <t>CFG-10744</t>
  </si>
  <si>
    <t>CFG-10058</t>
  </si>
  <si>
    <t>CFG-10430</t>
  </si>
  <si>
    <t>CFG-10468</t>
  </si>
  <si>
    <t>CFG-10909</t>
  </si>
  <si>
    <t>CFG-10660</t>
  </si>
  <si>
    <t>CFG-10147</t>
  </si>
  <si>
    <t>CFG-10165</t>
  </si>
  <si>
    <t>CFG-10558</t>
  </si>
  <si>
    <t>CFG-10144</t>
  </si>
  <si>
    <t>CFG-10680</t>
  </si>
  <si>
    <t>CFG-10390</t>
  </si>
  <si>
    <t>CFG-10706</t>
  </si>
  <si>
    <t>CFG-10974</t>
  </si>
  <si>
    <t>CFG-10856</t>
  </si>
  <si>
    <t>CFG-10002</t>
  </si>
  <si>
    <t>CFG-10050</t>
  </si>
  <si>
    <t>CFG-10022</t>
  </si>
  <si>
    <t>CFG-10783</t>
  </si>
  <si>
    <t>CFG-10333</t>
  </si>
  <si>
    <t>CFG-10260</t>
  </si>
  <si>
    <t>CFG-10320</t>
  </si>
  <si>
    <t>CFG-10354</t>
  </si>
  <si>
    <t>CFG-10007</t>
  </si>
  <si>
    <t>CFG-10682</t>
  </si>
  <si>
    <t>CFG-10852</t>
  </si>
  <si>
    <t>CFG-10349</t>
  </si>
  <si>
    <t>CFG-10395</t>
  </si>
  <si>
    <t>CFG-10518</t>
  </si>
  <si>
    <t>CFG-10703</t>
  </si>
  <si>
    <t>CFG-10865</t>
  </si>
  <si>
    <t>CFG-10476</t>
  </si>
  <si>
    <t>CFG-10158</t>
  </si>
  <si>
    <t>CFG-10620</t>
  </si>
  <si>
    <t>CFG-10748</t>
  </si>
  <si>
    <t>CFG-10470</t>
  </si>
  <si>
    <t>CFG-10131</t>
  </si>
  <si>
    <t>CFG-10351</t>
  </si>
  <si>
    <t>CFG-10717</t>
  </si>
  <si>
    <t>CFG-10151</t>
  </si>
  <si>
    <t>CFG-10378</t>
  </si>
  <si>
    <t>CFG-10133</t>
  </si>
  <si>
    <t>CFG-10775</t>
  </si>
  <si>
    <t>CFG-10800</t>
  </si>
  <si>
    <t>CFG-10982</t>
  </si>
  <si>
    <t>CFG-10644</t>
  </si>
  <si>
    <t>CFG-10375</t>
  </si>
  <si>
    <t>CFG-10646</t>
  </si>
  <si>
    <t>CFG-10588</t>
  </si>
  <si>
    <t>CFG-10250</t>
  </si>
  <si>
    <t>CFG-10764</t>
  </si>
  <si>
    <t>CFG-10467</t>
  </si>
  <si>
    <t>CFG-10484</t>
  </si>
  <si>
    <t>CFG-10401</t>
  </si>
  <si>
    <t>CFG-10636</t>
  </si>
  <si>
    <t>CFG-10407</t>
  </si>
  <si>
    <t>CFG-10808</t>
  </si>
  <si>
    <t>CFG-10488</t>
  </si>
  <si>
    <t>CFG-10113</t>
  </si>
  <si>
    <t>CFG-10198</t>
  </si>
  <si>
    <t>CFG-10947</t>
  </si>
  <si>
    <t>CFG-10451</t>
  </si>
  <si>
    <t>CFG-10416</t>
  </si>
  <si>
    <t>CFG-10217</t>
  </si>
  <si>
    <t>CFG-10226</t>
  </si>
  <si>
    <t>CFG-10964</t>
  </si>
  <si>
    <t>CFG-10761</t>
  </si>
  <si>
    <t>CFG-10765</t>
  </si>
  <si>
    <t>CFG-10961</t>
  </si>
  <si>
    <t>CFG-10347</t>
  </si>
  <si>
    <t>CFG-10292</t>
  </si>
  <si>
    <t>CFG-10053</t>
  </si>
  <si>
    <t>CFG-10385</t>
  </si>
  <si>
    <t>CFG-10266</t>
  </si>
  <si>
    <t>CFG-10368</t>
  </si>
  <si>
    <t>CFG-10877</t>
  </si>
  <si>
    <t>CFG-10531</t>
  </si>
  <si>
    <t>CFG-10599</t>
  </si>
  <si>
    <t>CFG-10666</t>
  </si>
  <si>
    <t>CFG-10027</t>
  </si>
  <si>
    <t>CFG-10075</t>
  </si>
  <si>
    <t>CFG-10167</t>
  </si>
  <si>
    <t>CFG-10530</t>
  </si>
  <si>
    <t>CFG-10137</t>
  </si>
  <si>
    <t>CFG-10380</t>
  </si>
  <si>
    <t>CFG-10139</t>
  </si>
  <si>
    <t>CFG-10082</t>
  </si>
  <si>
    <t>CFG-10966</t>
  </si>
  <si>
    <t>CFG-10457</t>
  </si>
  <si>
    <t>CFG-10304</t>
  </si>
  <si>
    <t>CFG-10391</t>
  </si>
  <si>
    <t>CFG-10242</t>
  </si>
  <si>
    <t>CFG-10853</t>
  </si>
  <si>
    <t>CFG-10419</t>
  </si>
  <si>
    <t>CFG-10971</t>
  </si>
  <si>
    <t>CFG-10235</t>
  </si>
  <si>
    <t>CFG-10698</t>
  </si>
  <si>
    <t>CFG-10914</t>
  </si>
  <si>
    <t>CFG-10949</t>
  </si>
  <si>
    <t>CFG-10087</t>
  </si>
  <si>
    <t>CFG-10583</t>
  </si>
  <si>
    <t>CFG-10926</t>
  </si>
  <si>
    <t>CFG-10755</t>
  </si>
  <si>
    <t>CFG-10264</t>
  </si>
  <si>
    <t>CFG-10117</t>
  </si>
  <si>
    <t>CFG-10515</t>
  </si>
  <si>
    <t>CFG-10768</t>
  </si>
  <si>
    <t>CFG-10387</t>
  </si>
  <si>
    <t>CFG-10562</t>
  </si>
  <si>
    <t>CFG-10668</t>
  </si>
  <si>
    <t>CFG-10402</t>
  </si>
  <si>
    <t>CFG-10825</t>
  </si>
  <si>
    <t>CFG-10532</t>
  </si>
  <si>
    <t>CFG-10010</t>
  </si>
  <si>
    <t>CFG-10388</t>
  </si>
  <si>
    <t>CFG-10886</t>
  </si>
  <si>
    <t>CFG-10570</t>
  </si>
  <si>
    <t>CFG-10773</t>
  </si>
  <si>
    <t>CFG-10714</t>
  </si>
  <si>
    <t>CFG-10314</t>
  </si>
  <si>
    <t>CFG-10641</t>
  </si>
  <si>
    <t>CFG-10433</t>
  </si>
  <si>
    <t>CFG-10492</t>
  </si>
  <si>
    <t>CFG-10295</t>
  </si>
  <si>
    <t>CFG-10312</t>
  </si>
  <si>
    <t>CFG-10230</t>
  </si>
  <si>
    <t>CFG-10455</t>
  </si>
  <si>
    <t>CFG-10753</t>
  </si>
  <si>
    <t>CFG-10095</t>
  </si>
  <si>
    <t>CFG-10738</t>
  </si>
  <si>
    <t>CFG-10881</t>
  </si>
  <si>
    <t>CFG-10787</t>
  </si>
  <si>
    <t>CFG-10438</t>
  </si>
  <si>
    <t>CFG-10710</t>
  </si>
  <si>
    <t>CFG-10606</t>
  </si>
  <si>
    <t>CFG-10301</t>
  </si>
  <si>
    <t>CFG-10535</t>
  </si>
  <si>
    <t>CFG-10146</t>
  </si>
  <si>
    <t>CFG-10626</t>
  </si>
  <si>
    <t>CFG-10357</t>
  </si>
  <si>
    <t>CFG-10447</t>
  </si>
  <si>
    <t>CFG-10647</t>
  </si>
  <si>
    <t>CFG-10093</t>
  </si>
  <si>
    <t>CFG-10500</t>
  </si>
  <si>
    <t>CFG-10790</t>
  </si>
  <si>
    <t>CFG-10221</t>
  </si>
  <si>
    <t>CFG-10343</t>
  </si>
  <si>
    <t>CFG-10089</t>
  </si>
  <si>
    <t>CFG-10345</t>
  </si>
  <si>
    <t>CFG-10960</t>
  </si>
  <si>
    <t>CFG-10134</t>
  </si>
  <si>
    <t>CFG-10524</t>
  </si>
  <si>
    <t>CFG-10069</t>
  </si>
  <si>
    <t>CFG-10125</t>
  </si>
  <si>
    <t>CFG-10863</t>
  </si>
  <si>
    <t>CFG-10321</t>
  </si>
  <si>
    <t>CFG-10194</t>
  </si>
  <si>
    <t>CFG-10280</t>
  </si>
  <si>
    <t>CFG-10851</t>
  </si>
  <si>
    <t>CFG-10311</t>
  </si>
  <si>
    <t>CFG-10490</t>
  </si>
  <si>
    <t>CFG-10544</t>
  </si>
  <si>
    <t>CFG-10725</t>
  </si>
  <si>
    <t>CFG-10953</t>
  </si>
  <si>
    <t>CFG-10769</t>
  </si>
  <si>
    <t>CFG-10504</t>
  </si>
  <si>
    <t>CFG-10900</t>
  </si>
  <si>
    <t>CFG-10212</t>
  </si>
  <si>
    <t>CFG-10076</t>
  </si>
  <si>
    <t>CFG-10868</t>
  </si>
  <si>
    <t>CFG-10721</t>
  </si>
  <si>
    <t>CFG-10171</t>
  </si>
  <si>
    <t>CFG-10638</t>
  </si>
  <si>
    <t>CFG-10813</t>
  </si>
  <si>
    <t>CFG-10193</t>
  </si>
  <si>
    <t>CFG-10496</t>
  </si>
  <si>
    <t>CFG-10325</t>
  </si>
  <si>
    <t>CFG-10148</t>
  </si>
  <si>
    <t>CFG-10821</t>
  </si>
  <si>
    <t>CFG-10300</t>
  </si>
  <si>
    <t>CFG-10317</t>
  </si>
  <si>
    <t>CFG-10174</t>
  </si>
  <si>
    <t>CFG-10460</t>
  </si>
  <si>
    <t>CFG-10673</t>
  </si>
  <si>
    <t>CFG-10689</t>
  </si>
  <si>
    <t>CFG-10573</t>
  </si>
  <si>
    <t>CFG-10546</t>
  </si>
  <si>
    <t>CFG-10749</t>
  </si>
  <si>
    <t>CFG-10316</t>
  </si>
  <si>
    <t>CFG-10751</t>
  </si>
  <si>
    <t>CFG-10197</t>
  </si>
  <si>
    <t>CFG-10001</t>
  </si>
  <si>
    <t>CFG-10297</t>
  </si>
  <si>
    <t>CFG-10204</t>
  </si>
  <si>
    <t>CFG-10954</t>
  </si>
  <si>
    <t>CFG-10702</t>
  </si>
  <si>
    <t>CFG-10032</t>
  </si>
  <si>
    <t>CFG-10837</t>
  </si>
  <si>
    <t>CFG-10493</t>
  </si>
  <si>
    <t>CFG-10403</t>
  </si>
  <si>
    <t>CFG-10224</t>
  </si>
  <si>
    <t>CFG-10489</t>
  </si>
  <si>
    <t>CFG-10048</t>
  </si>
  <si>
    <t>CFG-10979</t>
  </si>
  <si>
    <t>CFG-10283</t>
  </si>
  <si>
    <t>CFG-10322</t>
  </si>
  <si>
    <t>CFG-10549</t>
  </si>
  <si>
    <t>CFG-10369</t>
  </si>
  <si>
    <t>CFG-10255</t>
  </si>
  <si>
    <t>CFG-10568</t>
  </si>
  <si>
    <t>CFG-10938</t>
  </si>
  <si>
    <t>CFG-10272</t>
  </si>
  <si>
    <t>CFG-10767</t>
  </si>
  <si>
    <t>CFG-10268</t>
  </si>
  <si>
    <t>CFG-10841</t>
  </si>
  <si>
    <t>CFG-10597</t>
  </si>
  <si>
    <t>CFG-10624</t>
  </si>
  <si>
    <t>CFG-10443</t>
  </si>
  <si>
    <t>CFG-10577</t>
  </si>
  <si>
    <t>CFG-10925</t>
  </si>
  <si>
    <t>CFG-10291</t>
  </si>
  <si>
    <t>CFG-10585</t>
  </si>
  <si>
    <t>CFG-10426</t>
  </si>
  <si>
    <t>CFG-10018</t>
  </si>
  <si>
    <t>CFG-10211</t>
  </si>
  <si>
    <t>CFG-10847</t>
  </si>
  <si>
    <t>CFG-10035</t>
  </si>
  <si>
    <t>CFG-10481</t>
  </si>
  <si>
    <t>CFG-10085</t>
  </si>
  <si>
    <t>CFG-10253</t>
  </si>
  <si>
    <t>CFG-10723</t>
  </si>
  <si>
    <t>CFG-10374</t>
  </si>
  <si>
    <t>CFG-10927</t>
  </si>
  <si>
    <t>CFG-10362</t>
  </si>
  <si>
    <t>CFG-10245</t>
  </si>
  <si>
    <t>CFG-10178</t>
  </si>
  <si>
    <t>CFG-10528</t>
  </si>
  <si>
    <t>CFG-10339</t>
  </si>
  <si>
    <t>CFG-10051</t>
  </si>
  <si>
    <t>CFG-10274</t>
  </si>
  <si>
    <t>CFG-10540</t>
  </si>
  <si>
    <t>CFG-10103</t>
  </si>
  <si>
    <t>CFG-10892</t>
  </si>
  <si>
    <t>CFG-10552</t>
  </si>
  <si>
    <t>CFG-10743</t>
  </si>
  <si>
    <t>CFG-10025</t>
  </si>
  <si>
    <t>CFG-10286</t>
  </si>
  <si>
    <t>CFG-10872</t>
  </si>
  <si>
    <t>CFG-10232</t>
  </si>
  <si>
    <t>CFG-10811</t>
  </si>
  <si>
    <t>CFG-10820</t>
  </si>
  <si>
    <t>CFG-10434</t>
  </si>
  <si>
    <t>CFG-10057</t>
  </si>
  <si>
    <t>CFG-10918</t>
  </si>
  <si>
    <t>CFG-10384</t>
  </si>
  <si>
    <t>CFG-10464</t>
  </si>
  <si>
    <t>CFG-10188</t>
  </si>
  <si>
    <t>TOTAL</t>
  </si>
  <si>
    <t>Customer Master</t>
  </si>
  <si>
    <t>Region</t>
  </si>
  <si>
    <t>Account Owner</t>
  </si>
  <si>
    <t>Customer Since</t>
  </si>
  <si>
    <t>Credit Terms (days)</t>
  </si>
  <si>
    <t>Primary Lanes</t>
  </si>
  <si>
    <t>West Coast</t>
  </si>
  <si>
    <t>2019</t>
  </si>
  <si>
    <t>Shanghai-Long Beach, Ningbo-Long Beach, Shenzhen-Long Beach</t>
  </si>
  <si>
    <t>Midwest</t>
  </si>
  <si>
    <t>2020</t>
  </si>
  <si>
    <t>Rotterdam-Newark, Antwerp-Newark, Mexico City-Laredo</t>
  </si>
  <si>
    <t>Northeast</t>
  </si>
  <si>
    <t>2021</t>
  </si>
  <si>
    <t>Rotterdam-Newark, Antwerp-Newark</t>
  </si>
  <si>
    <t>2018</t>
  </si>
  <si>
    <t>Hong Kong-Chicago, Shenzhen-Long Beach</t>
  </si>
  <si>
    <t>Southeast</t>
  </si>
  <si>
    <t>2022</t>
  </si>
  <si>
    <t>Bogota-Miami, Frankfurt-Miami</t>
  </si>
  <si>
    <t>Mexico City-Laredo, Frankfurt-Miami</t>
  </si>
  <si>
    <t>2017</t>
  </si>
  <si>
    <t>Frankfurt-Miami, Shanghai-Chicago</t>
  </si>
  <si>
    <t>2023</t>
  </si>
  <si>
    <t>Shanghai-Long Beach, Ningbo-Long Beach</t>
  </si>
  <si>
    <t>Shenzhen-Long Beach, Shanghai-Long Beach</t>
  </si>
  <si>
    <t>Ningbo-Long Beach, Hong Kong-Chicago</t>
  </si>
  <si>
    <t>Open &amp; Recent Invoices (raw - let Copilot build the aging)</t>
  </si>
  <si>
    <t>Invoice #</t>
  </si>
  <si>
    <t>Invoice Date</t>
  </si>
  <si>
    <t>Due Date</t>
  </si>
  <si>
    <t>Amount ($)</t>
  </si>
  <si>
    <t>Paid Date</t>
  </si>
  <si>
    <t>INV-20418</t>
  </si>
  <si>
    <t>Open</t>
  </si>
  <si>
    <t>INV-20410</t>
  </si>
  <si>
    <t>INV-20402</t>
  </si>
  <si>
    <t>INV-20455</t>
  </si>
  <si>
    <t>INV-20389</t>
  </si>
  <si>
    <t>INV-20447</t>
  </si>
  <si>
    <t>INV-20460</t>
  </si>
  <si>
    <t>INV-20471</t>
  </si>
  <si>
    <t>INV-20466</t>
  </si>
  <si>
    <t>INV-20480</t>
  </si>
  <si>
    <t>INV-20488</t>
  </si>
  <si>
    <t>INV-20300</t>
  </si>
  <si>
    <t>Paid</t>
  </si>
  <si>
    <t>INV-20322</t>
  </si>
  <si>
    <t>INV-20351</t>
  </si>
  <si>
    <t>INV-20364</t>
  </si>
  <si>
    <t>INV-20377</t>
  </si>
  <si>
    <t>INV-20335</t>
  </si>
  <si>
    <t>INV-20420</t>
  </si>
  <si>
    <t>INV-20431</t>
  </si>
  <si>
    <t>INV-20444</t>
  </si>
  <si>
    <t>OPEN ONLY</t>
  </si>
  <si>
    <t>Headcount &amp; TSA Dependency by Department</t>
  </si>
  <si>
    <t>Department</t>
  </si>
  <si>
    <t>Budgeted</t>
  </si>
  <si>
    <t>Filled</t>
  </si>
  <si>
    <t>Open Reqs</t>
  </si>
  <si>
    <t>Fill Rate</t>
  </si>
  <si>
    <t>TSA-Dependent</t>
  </si>
  <si>
    <t>Notes</t>
  </si>
  <si>
    <t>Operations</t>
  </si>
  <si>
    <t>No</t>
  </si>
  <si>
    <t>Core freight execution</t>
  </si>
  <si>
    <t>Customs Brokerage</t>
  </si>
  <si>
    <t>Partial</t>
  </si>
  <si>
    <t>Broker license transfer pending CBP approval</t>
  </si>
  <si>
    <t>Sales &amp; Account Mgmt</t>
  </si>
  <si>
    <t>Rebuilding pipeline post-divestiture</t>
  </si>
  <si>
    <t>Finance</t>
  </si>
  <si>
    <t>Yes</t>
  </si>
  <si>
    <t>Payroll &amp; GL run on MGL systems until exit</t>
  </si>
  <si>
    <t>Information Technology</t>
  </si>
  <si>
    <t>Email, network, TMS provided by MGL under TSA</t>
  </si>
  <si>
    <t>Human Resources</t>
  </si>
  <si>
    <t>Benefits administration on MGL platform</t>
  </si>
  <si>
    <t>Legal &amp; Compliance</t>
  </si>
  <si>
    <t>Leading contract novation workstream</t>
  </si>
  <si>
    <t>Executive &amp;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</si>
</sst>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$#,##0"/>
    <numFmt numFmtId="166" formatCode="\$#,##0;&quot;($&quot;#,##0\)"/>
    <numFmt numFmtId="167" formatCode="0.0%"/>
  </numFmts>
  <fonts count="7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95959"/>
      <name val="Arial"/>
      <charset val="1"/>
    </font>
    <font>
      <sz val="10"/>
      <name val="Arial"/>
      <charset val="1"/>
    </font>
    <font>
      <b/>
      <sz val="12"/>
      <color rgb="FF1F3864"/>
      <name val="Arial"/>
      <charset val="1"/>
    </font>
    <font>
      <b/>
      <sz val="11"/>
      <name val="Arial"/>
      <charset val="1"/>
    </font>
    <font>
      <b/>
      <sz val="10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164" fontId="3" fillId="0" borderId="0" xfId="0" applyNumberFormat="1" applyFon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5" fontId="5" fillId="0" borderId="0" xfId="0" applyNumberFormat="1" applyFont="1"/>
    <xf numFmtId="167" fontId="5" fillId="0" borderId="0" xfId="0" applyNumberFormat="1" applyFont="1"/>
    <xf numFmtId="0" fontId="3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7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showGridLines="0" tabSelected="1" zoomScaleNormal="100" workbookViewId="0"/>
  </sheetViews>
  <sheetFormatPr defaultColWidth="8.7109375" defaultRowHeight="15"/>
  <cols>
    <col min="1" max="1" width="30" customWidth="1"/>
    <col min="2" max="2" width="90" customWidth="1"/>
  </cols>
  <sheetData>
    <row r="1" spans="1:2" ht="19.7">
      <c r="A1" s="1" t="s">
        <v>0</v>
      </c>
    </row>
    <row r="2" spans="1:2">
      <c r="A2" s="2" t="s">
        <v>1</v>
      </c>
    </row>
    <row r="4" spans="1:2">
      <c r="A4" s="3"/>
      <c r="B4" s="4"/>
    </row>
    <row r="5" spans="1:2">
      <c r="A5" s="5" t="s">
        <v>2</v>
      </c>
      <c r="B5" s="4"/>
    </row>
    <row r="6" spans="1:2">
      <c r="A6" s="6" t="s">
        <v>3</v>
      </c>
      <c r="B6" s="4" t="s">
        <v>4</v>
      </c>
    </row>
    <row r="7" spans="1:2">
      <c r="A7" s="6" t="s">
        <v>5</v>
      </c>
      <c r="B7" s="4" t="s">
        <v>6</v>
      </c>
    </row>
    <row r="8" spans="1:2">
      <c r="A8" s="6" t="s">
        <v>7</v>
      </c>
      <c r="B8" s="4" t="s">
        <v>8</v>
      </c>
    </row>
    <row r="9" spans="1:2">
      <c r="A9" s="6" t="s">
        <v>9</v>
      </c>
      <c r="B9" s="4" t="s">
        <v>10</v>
      </c>
    </row>
    <row r="10" spans="1:2">
      <c r="A10" s="6" t="s">
        <v>11</v>
      </c>
      <c r="B10" s="4" t="s">
        <v>12</v>
      </c>
    </row>
    <row r="11" spans="1:2">
      <c r="A11" s="6" t="s">
        <v>13</v>
      </c>
      <c r="B11" s="4" t="s">
        <v>14</v>
      </c>
    </row>
    <row r="12" spans="1:2">
      <c r="A12" s="6" t="s">
        <v>15</v>
      </c>
      <c r="B12" s="4" t="s">
        <v>16</v>
      </c>
    </row>
    <row r="13" spans="1:2">
      <c r="A13" s="6" t="s">
        <v>17</v>
      </c>
      <c r="B13" s="4" t="s">
        <v>18</v>
      </c>
    </row>
    <row r="14" spans="1:2">
      <c r="A14" s="6" t="s">
        <v>19</v>
      </c>
      <c r="B14" s="4" t="s">
        <v>20</v>
      </c>
    </row>
    <row r="15" spans="1:2">
      <c r="A15" s="3"/>
      <c r="B15" s="4"/>
    </row>
    <row r="16" spans="1:2">
      <c r="A16" s="5" t="s">
        <v>21</v>
      </c>
      <c r="B16" s="4"/>
    </row>
    <row r="17" spans="1:2">
      <c r="A17" s="6" t="s">
        <v>22</v>
      </c>
      <c r="B17" s="4" t="s">
        <v>23</v>
      </c>
    </row>
    <row r="18" spans="1:2" ht="35.1">
      <c r="A18" s="6" t="s">
        <v>24</v>
      </c>
      <c r="B18" s="4" t="s">
        <v>25</v>
      </c>
    </row>
    <row r="19" spans="1:2">
      <c r="A19" s="6" t="s">
        <v>26</v>
      </c>
      <c r="B19" s="4" t="s">
        <v>27</v>
      </c>
    </row>
    <row r="20" spans="1:2">
      <c r="A20" s="3"/>
      <c r="B20" s="4"/>
    </row>
    <row r="21" spans="1:2">
      <c r="A21" s="5" t="s">
        <v>28</v>
      </c>
      <c r="B21" s="4"/>
    </row>
    <row r="22" spans="1:2">
      <c r="A22" s="6" t="s">
        <v>29</v>
      </c>
      <c r="B22" s="4" t="s">
        <v>30</v>
      </c>
    </row>
    <row r="23" spans="1:2">
      <c r="A23" s="6" t="s">
        <v>31</v>
      </c>
      <c r="B23" s="4" t="s">
        <v>32</v>
      </c>
    </row>
    <row r="24" spans="1:2">
      <c r="A24" s="6" t="s">
        <v>33</v>
      </c>
      <c r="B24" s="4" t="s">
        <v>34</v>
      </c>
    </row>
    <row r="25" spans="1:2">
      <c r="A25" s="6" t="s">
        <v>35</v>
      </c>
      <c r="B25" s="4" t="s">
        <v>36</v>
      </c>
    </row>
    <row r="26" spans="1:2">
      <c r="A26" s="6" t="s">
        <v>37</v>
      </c>
      <c r="B26" s="4" t="s">
        <v>38</v>
      </c>
    </row>
    <row r="27" spans="1:2">
      <c r="A27" s="6" t="s">
        <v>39</v>
      </c>
      <c r="B27" s="4" t="s">
        <v>40</v>
      </c>
    </row>
    <row r="28" spans="1:2">
      <c r="A28" s="6" t="s">
        <v>41</v>
      </c>
      <c r="B28" s="4" t="s">
        <v>42</v>
      </c>
    </row>
    <row r="29" spans="1:2">
      <c r="A29" s="6" t="s">
        <v>7</v>
      </c>
      <c r="B29" s="4" t="s">
        <v>43</v>
      </c>
    </row>
    <row r="30" spans="1:2">
      <c r="A30" s="3"/>
      <c r="B30" s="4"/>
    </row>
    <row r="31" spans="1:2">
      <c r="A31" s="6" t="s">
        <v>44</v>
      </c>
      <c r="B31" s="4" t="s">
        <v>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2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1" customWidth="1"/>
    <col min="2" max="4" width="12" customWidth="1"/>
    <col min="5" max="5" width="8" customWidth="1"/>
    <col min="6" max="6" width="11" customWidth="1"/>
    <col min="7" max="8" width="14" customWidth="1"/>
    <col min="9" max="9" width="19" customWidth="1"/>
    <col min="10" max="10" width="11" customWidth="1"/>
    <col min="11" max="11" width="22" customWidth="1"/>
    <col min="12" max="12" width="20" customWidth="1"/>
    <col min="13" max="13" width="12" customWidth="1"/>
    <col min="14" max="14" width="8" customWidth="1"/>
    <col min="15" max="18" width="12" customWidth="1"/>
    <col min="19" max="19" width="9" customWidth="1"/>
    <col min="20" max="21" width="12" customWidth="1"/>
    <col min="22" max="22" width="9" customWidth="1"/>
    <col min="23" max="23" width="12" customWidth="1"/>
    <col min="24" max="24" width="16" customWidth="1"/>
    <col min="25" max="25" width="9" customWidth="1"/>
  </cols>
  <sheetData>
    <row r="1" spans="1:25" ht="35.1">
      <c r="A1" s="7" t="s">
        <v>29</v>
      </c>
      <c r="B1" s="7" t="s">
        <v>46</v>
      </c>
      <c r="C1" s="7" t="s">
        <v>47</v>
      </c>
      <c r="D1" s="7" t="s">
        <v>48</v>
      </c>
      <c r="E1" s="7" t="s">
        <v>49</v>
      </c>
      <c r="F1" s="7" t="s">
        <v>50</v>
      </c>
      <c r="G1" s="7" t="s">
        <v>51</v>
      </c>
      <c r="H1" s="7" t="s">
        <v>52</v>
      </c>
      <c r="I1" s="7" t="s">
        <v>53</v>
      </c>
      <c r="J1" s="7" t="s">
        <v>54</v>
      </c>
      <c r="K1" s="7" t="s">
        <v>55</v>
      </c>
      <c r="L1" s="7" t="s">
        <v>56</v>
      </c>
      <c r="M1" s="7" t="s">
        <v>57</v>
      </c>
      <c r="N1" s="7" t="s">
        <v>58</v>
      </c>
      <c r="O1" s="7" t="s">
        <v>59</v>
      </c>
      <c r="P1" s="7" t="s">
        <v>60</v>
      </c>
      <c r="Q1" s="7" t="s">
        <v>61</v>
      </c>
      <c r="R1" s="7" t="s">
        <v>62</v>
      </c>
      <c r="S1" s="7" t="s">
        <v>63</v>
      </c>
      <c r="T1" s="7" t="s">
        <v>64</v>
      </c>
      <c r="U1" s="7" t="s">
        <v>65</v>
      </c>
      <c r="V1" s="7" t="s">
        <v>66</v>
      </c>
      <c r="W1" s="7" t="s">
        <v>7</v>
      </c>
      <c r="X1" s="7" t="s">
        <v>67</v>
      </c>
      <c r="Y1" s="7" t="s">
        <v>68</v>
      </c>
    </row>
    <row r="2" spans="1:25">
      <c r="A2" s="3" t="s">
        <v>69</v>
      </c>
      <c r="B2" s="8">
        <v>46063</v>
      </c>
      <c r="C2" s="8">
        <v>46074</v>
      </c>
      <c r="D2" s="8">
        <v>46076</v>
      </c>
      <c r="E2" s="3" t="s">
        <v>70</v>
      </c>
      <c r="F2" s="3" t="s">
        <v>71</v>
      </c>
      <c r="G2" s="3" t="s">
        <v>72</v>
      </c>
      <c r="H2" s="3" t="s">
        <v>73</v>
      </c>
      <c r="I2" s="3" t="s">
        <v>74</v>
      </c>
      <c r="J2" s="3" t="s">
        <v>75</v>
      </c>
      <c r="K2" s="3" t="s">
        <v>76</v>
      </c>
      <c r="L2" s="3" t="s">
        <v>77</v>
      </c>
      <c r="M2" s="3" t="s">
        <v>78</v>
      </c>
      <c r="N2" s="3">
        <v>4.7</v>
      </c>
      <c r="O2" s="9">
        <v>4700</v>
      </c>
      <c r="P2" s="10">
        <v>1769</v>
      </c>
      <c r="Q2" s="10">
        <v>1390</v>
      </c>
      <c r="R2" s="11">
        <f>P2-Q2</f>
        <v>379</v>
      </c>
      <c r="S2" s="12">
        <f>R2/P2</f>
        <v>0.21424533634821932</v>
      </c>
      <c r="T2" s="3">
        <v>2</v>
      </c>
      <c r="U2" s="3">
        <v>2</v>
      </c>
      <c r="V2" s="3" t="str">
        <f>IF(U2&lt;=T2+1,"On-Time","Late")</f>
        <v>On-Time</v>
      </c>
      <c r="W2" s="3" t="s">
        <v>79</v>
      </c>
      <c r="X2" s="3" t="s">
        <v>80</v>
      </c>
      <c r="Y2" s="3" t="s">
        <v>81</v>
      </c>
    </row>
    <row r="3" spans="1:25">
      <c r="A3" s="3" t="s">
        <v>82</v>
      </c>
      <c r="B3" s="8">
        <v>46131</v>
      </c>
      <c r="C3" s="8">
        <v>46139</v>
      </c>
      <c r="D3" s="8">
        <v>46158</v>
      </c>
      <c r="E3" s="3" t="s">
        <v>83</v>
      </c>
      <c r="F3" s="3" t="s">
        <v>84</v>
      </c>
      <c r="G3" s="3" t="s">
        <v>85</v>
      </c>
      <c r="H3" s="3" t="s">
        <v>86</v>
      </c>
      <c r="I3" s="3" t="s">
        <v>87</v>
      </c>
      <c r="J3" s="3" t="s">
        <v>88</v>
      </c>
      <c r="K3" s="3" t="s">
        <v>89</v>
      </c>
      <c r="L3" s="3" t="s">
        <v>90</v>
      </c>
      <c r="M3" s="3" t="s">
        <v>91</v>
      </c>
      <c r="N3" s="3">
        <v>6</v>
      </c>
      <c r="O3" s="9">
        <v>59382</v>
      </c>
      <c r="P3" s="10">
        <v>17178</v>
      </c>
      <c r="Q3" s="10">
        <v>15182</v>
      </c>
      <c r="R3" s="11">
        <f>P3-Q3</f>
        <v>1996</v>
      </c>
      <c r="S3" s="12">
        <f>R3/P3</f>
        <v>0.11619513331004773</v>
      </c>
      <c r="T3" s="3">
        <v>18</v>
      </c>
      <c r="U3" s="3">
        <v>19</v>
      </c>
      <c r="V3" s="3" t="str">
        <f>IF(U3&lt;=T3+1,"On-Time","Late")</f>
        <v>On-Time</v>
      </c>
      <c r="W3" s="3" t="s">
        <v>79</v>
      </c>
      <c r="X3" s="3" t="s">
        <v>80</v>
      </c>
      <c r="Y3" s="3" t="s">
        <v>92</v>
      </c>
    </row>
    <row r="4" spans="1:25">
      <c r="A4" s="3" t="s">
        <v>93</v>
      </c>
      <c r="B4" s="8">
        <v>46134</v>
      </c>
      <c r="C4" s="8">
        <v>46144</v>
      </c>
      <c r="D4" s="8">
        <v>46146</v>
      </c>
      <c r="E4" s="3" t="s">
        <v>70</v>
      </c>
      <c r="F4" s="3" t="s">
        <v>71</v>
      </c>
      <c r="G4" s="3" t="s">
        <v>72</v>
      </c>
      <c r="H4" s="3" t="s">
        <v>73</v>
      </c>
      <c r="I4" s="3" t="s">
        <v>74</v>
      </c>
      <c r="J4" s="3" t="s">
        <v>75</v>
      </c>
      <c r="K4" s="3" t="s">
        <v>76</v>
      </c>
      <c r="L4" s="3" t="s">
        <v>77</v>
      </c>
      <c r="M4" s="3" t="s">
        <v>78</v>
      </c>
      <c r="N4" s="3">
        <v>9.1999999999999993</v>
      </c>
      <c r="O4" s="9">
        <v>9200</v>
      </c>
      <c r="P4" s="10">
        <v>2026</v>
      </c>
      <c r="Q4" s="10">
        <v>1585</v>
      </c>
      <c r="R4" s="11">
        <f>P4-Q4</f>
        <v>441</v>
      </c>
      <c r="S4" s="12">
        <f>R4/P4</f>
        <v>0.21767028627838106</v>
      </c>
      <c r="T4" s="3">
        <v>2</v>
      </c>
      <c r="U4" s="3">
        <v>2</v>
      </c>
      <c r="V4" s="3" t="str">
        <f>IF(U4&lt;=T4+1,"On-Time","Late")</f>
        <v>On-Time</v>
      </c>
      <c r="W4" s="3" t="s">
        <v>79</v>
      </c>
      <c r="X4" s="3" t="s">
        <v>80</v>
      </c>
      <c r="Y4" s="3" t="s">
        <v>94</v>
      </c>
    </row>
    <row r="5" spans="1:25">
      <c r="A5" s="3" t="s">
        <v>95</v>
      </c>
      <c r="B5" s="8">
        <v>46079</v>
      </c>
      <c r="C5" s="8">
        <v>46085</v>
      </c>
      <c r="D5" s="8">
        <v>46087</v>
      </c>
      <c r="E5" s="3" t="s">
        <v>70</v>
      </c>
      <c r="F5" s="3" t="s">
        <v>96</v>
      </c>
      <c r="G5" s="3" t="s">
        <v>72</v>
      </c>
      <c r="H5" s="3" t="s">
        <v>73</v>
      </c>
      <c r="I5" s="3" t="s">
        <v>74</v>
      </c>
      <c r="J5" s="3" t="s">
        <v>75</v>
      </c>
      <c r="K5" s="3" t="s">
        <v>76</v>
      </c>
      <c r="L5" s="3" t="s">
        <v>77</v>
      </c>
      <c r="M5" s="3" t="s">
        <v>78</v>
      </c>
      <c r="N5" s="3">
        <v>4.3</v>
      </c>
      <c r="O5" s="9">
        <v>4300</v>
      </c>
      <c r="P5" s="10">
        <v>2236</v>
      </c>
      <c r="Q5" s="10">
        <v>1759</v>
      </c>
      <c r="R5" s="11">
        <f>P5-Q5</f>
        <v>477</v>
      </c>
      <c r="S5" s="12">
        <f>R5/P5</f>
        <v>0.2133273703041145</v>
      </c>
      <c r="T5" s="3">
        <v>2</v>
      </c>
      <c r="U5" s="3">
        <v>2</v>
      </c>
      <c r="V5" s="3" t="str">
        <f>IF(U5&lt;=T5+1,"On-Time","Late")</f>
        <v>On-Time</v>
      </c>
      <c r="W5" s="3" t="s">
        <v>79</v>
      </c>
      <c r="X5" s="3" t="s">
        <v>80</v>
      </c>
      <c r="Y5" s="3" t="s">
        <v>94</v>
      </c>
    </row>
    <row r="6" spans="1:25">
      <c r="A6" s="3" t="s">
        <v>97</v>
      </c>
      <c r="B6" s="8">
        <v>46150</v>
      </c>
      <c r="C6" s="8">
        <v>46156</v>
      </c>
      <c r="D6" s="8">
        <v>46170</v>
      </c>
      <c r="E6" s="3" t="s">
        <v>83</v>
      </c>
      <c r="F6" s="3" t="s">
        <v>96</v>
      </c>
      <c r="G6" s="3" t="s">
        <v>98</v>
      </c>
      <c r="H6" s="3" t="s">
        <v>99</v>
      </c>
      <c r="I6" s="3" t="s">
        <v>100</v>
      </c>
      <c r="J6" s="3" t="s">
        <v>101</v>
      </c>
      <c r="K6" s="3" t="s">
        <v>76</v>
      </c>
      <c r="L6" s="3" t="s">
        <v>77</v>
      </c>
      <c r="M6" s="3" t="s">
        <v>91</v>
      </c>
      <c r="N6" s="3">
        <v>3</v>
      </c>
      <c r="O6" s="9">
        <v>44925</v>
      </c>
      <c r="P6" s="10">
        <v>8313</v>
      </c>
      <c r="Q6" s="10">
        <v>7054</v>
      </c>
      <c r="R6" s="11">
        <f>P6-Q6</f>
        <v>1259</v>
      </c>
      <c r="S6" s="12">
        <f>R6/P6</f>
        <v>0.15144953686996271</v>
      </c>
      <c r="T6" s="3">
        <v>14</v>
      </c>
      <c r="U6" s="3">
        <v>14</v>
      </c>
      <c r="V6" s="3" t="str">
        <f>IF(U6&lt;=T6+1,"On-Time","Late")</f>
        <v>On-Time</v>
      </c>
      <c r="W6" s="3" t="s">
        <v>79</v>
      </c>
      <c r="X6" s="3" t="s">
        <v>80</v>
      </c>
      <c r="Y6" s="3" t="s">
        <v>81</v>
      </c>
    </row>
    <row r="7" spans="1:25">
      <c r="A7" s="3" t="s">
        <v>102</v>
      </c>
      <c r="B7" s="8">
        <v>46068</v>
      </c>
      <c r="C7" s="8">
        <v>46073</v>
      </c>
      <c r="D7" s="8">
        <v>46075</v>
      </c>
      <c r="E7" s="3" t="s">
        <v>103</v>
      </c>
      <c r="F7" s="3" t="s">
        <v>96</v>
      </c>
      <c r="G7" s="3" t="s">
        <v>104</v>
      </c>
      <c r="H7" s="3" t="s">
        <v>105</v>
      </c>
      <c r="I7" s="3" t="s">
        <v>106</v>
      </c>
      <c r="J7" s="3" t="s">
        <v>107</v>
      </c>
      <c r="K7" s="3" t="s">
        <v>108</v>
      </c>
      <c r="L7" s="3" t="s">
        <v>109</v>
      </c>
      <c r="M7" s="3" t="s">
        <v>110</v>
      </c>
      <c r="N7" s="3">
        <v>4.5999999999999996</v>
      </c>
      <c r="O7" s="9">
        <v>4600</v>
      </c>
      <c r="P7" s="10">
        <v>24807</v>
      </c>
      <c r="Q7" s="10">
        <v>19672</v>
      </c>
      <c r="R7" s="11">
        <f>P7-Q7</f>
        <v>5135</v>
      </c>
      <c r="S7" s="12">
        <f>R7/P7</f>
        <v>0.20699802475107831</v>
      </c>
      <c r="T7" s="3">
        <v>2</v>
      </c>
      <c r="U7" s="3">
        <v>2</v>
      </c>
      <c r="V7" s="3" t="str">
        <f>IF(U7&lt;=T7+1,"On-Time","Late")</f>
        <v>On-Time</v>
      </c>
      <c r="W7" s="3" t="s">
        <v>79</v>
      </c>
      <c r="X7" s="3" t="s">
        <v>111</v>
      </c>
      <c r="Y7" s="3" t="s">
        <v>92</v>
      </c>
    </row>
    <row r="8" spans="1:25">
      <c r="A8" s="3" t="s">
        <v>112</v>
      </c>
      <c r="B8" s="8">
        <v>46053</v>
      </c>
      <c r="C8" s="8">
        <v>46064</v>
      </c>
      <c r="D8" s="8">
        <v>46066</v>
      </c>
      <c r="E8" s="3" t="s">
        <v>103</v>
      </c>
      <c r="F8" s="3" t="s">
        <v>71</v>
      </c>
      <c r="G8" s="3" t="s">
        <v>104</v>
      </c>
      <c r="H8" s="3" t="s">
        <v>105</v>
      </c>
      <c r="I8" s="3" t="s">
        <v>106</v>
      </c>
      <c r="J8" s="3" t="s">
        <v>107</v>
      </c>
      <c r="K8" s="3" t="s">
        <v>113</v>
      </c>
      <c r="L8" s="3" t="s">
        <v>114</v>
      </c>
      <c r="M8" s="3" t="s">
        <v>115</v>
      </c>
      <c r="N8" s="3">
        <v>4.0999999999999996</v>
      </c>
      <c r="O8" s="9">
        <v>4100</v>
      </c>
      <c r="P8" s="10">
        <v>21836</v>
      </c>
      <c r="Q8" s="10">
        <v>17670</v>
      </c>
      <c r="R8" s="11">
        <f>P8-Q8</f>
        <v>4166</v>
      </c>
      <c r="S8" s="12">
        <f>R8/P8</f>
        <v>0.19078585821579044</v>
      </c>
      <c r="T8" s="3">
        <v>2</v>
      </c>
      <c r="U8" s="3">
        <v>2</v>
      </c>
      <c r="V8" s="3" t="str">
        <f>IF(U8&lt;=T8+1,"On-Time","Late")</f>
        <v>On-Time</v>
      </c>
      <c r="W8" s="3" t="s">
        <v>79</v>
      </c>
      <c r="X8" s="3" t="s">
        <v>116</v>
      </c>
      <c r="Y8" s="3" t="s">
        <v>117</v>
      </c>
    </row>
    <row r="9" spans="1:25">
      <c r="A9" s="3" t="s">
        <v>118</v>
      </c>
      <c r="B9" s="8">
        <v>46104</v>
      </c>
      <c r="C9" s="8">
        <v>46109</v>
      </c>
      <c r="D9" s="8">
        <v>46112</v>
      </c>
      <c r="E9" s="3" t="s">
        <v>103</v>
      </c>
      <c r="F9" s="3" t="s">
        <v>96</v>
      </c>
      <c r="G9" s="3" t="s">
        <v>85</v>
      </c>
      <c r="H9" s="3" t="s">
        <v>119</v>
      </c>
      <c r="I9" s="3" t="s">
        <v>120</v>
      </c>
      <c r="J9" s="3" t="s">
        <v>121</v>
      </c>
      <c r="K9" s="3" t="s">
        <v>108</v>
      </c>
      <c r="L9" s="3" t="s">
        <v>109</v>
      </c>
      <c r="M9" s="3" t="s">
        <v>115</v>
      </c>
      <c r="N9" s="3">
        <v>3.4</v>
      </c>
      <c r="O9" s="9">
        <v>3400</v>
      </c>
      <c r="P9" s="10">
        <v>14419</v>
      </c>
      <c r="Q9" s="10">
        <v>10990</v>
      </c>
      <c r="R9" s="11">
        <f>P9-Q9</f>
        <v>3429</v>
      </c>
      <c r="S9" s="12">
        <f>R9/P9</f>
        <v>0.23781122130522228</v>
      </c>
      <c r="T9" s="3">
        <v>3</v>
      </c>
      <c r="U9" s="3">
        <v>3</v>
      </c>
      <c r="V9" s="3" t="str">
        <f>IF(U9&lt;=T9+1,"On-Time","Late")</f>
        <v>On-Time</v>
      </c>
      <c r="W9" s="3" t="s">
        <v>79</v>
      </c>
      <c r="X9" s="3" t="s">
        <v>111</v>
      </c>
      <c r="Y9" s="3" t="s">
        <v>81</v>
      </c>
    </row>
    <row r="10" spans="1:25">
      <c r="A10" s="3" t="s">
        <v>122</v>
      </c>
      <c r="B10" s="8">
        <v>46134</v>
      </c>
      <c r="C10" s="8">
        <v>46148</v>
      </c>
      <c r="D10" s="8">
        <v>46151</v>
      </c>
      <c r="E10" s="3" t="s">
        <v>70</v>
      </c>
      <c r="F10" s="3" t="s">
        <v>96</v>
      </c>
      <c r="G10" s="3" t="s">
        <v>72</v>
      </c>
      <c r="H10" s="3" t="s">
        <v>73</v>
      </c>
      <c r="I10" s="3" t="s">
        <v>74</v>
      </c>
      <c r="J10" s="3" t="s">
        <v>75</v>
      </c>
      <c r="K10" s="3" t="s">
        <v>123</v>
      </c>
      <c r="L10" s="3" t="s">
        <v>124</v>
      </c>
      <c r="M10" s="3" t="s">
        <v>78</v>
      </c>
      <c r="N10" s="3">
        <v>13.6</v>
      </c>
      <c r="O10" s="9">
        <v>13600</v>
      </c>
      <c r="P10" s="10">
        <v>2319</v>
      </c>
      <c r="Q10" s="10">
        <v>1814</v>
      </c>
      <c r="R10" s="11">
        <f>P10-Q10</f>
        <v>505</v>
      </c>
      <c r="S10" s="12">
        <f>R10/P10</f>
        <v>0.21776627856834843</v>
      </c>
      <c r="T10" s="3">
        <v>2</v>
      </c>
      <c r="U10" s="3">
        <v>3</v>
      </c>
      <c r="V10" s="3" t="str">
        <f>IF(U10&lt;=T10+1,"On-Time","Late")</f>
        <v>On-Time</v>
      </c>
      <c r="W10" s="3" t="s">
        <v>79</v>
      </c>
      <c r="X10" s="3" t="s">
        <v>80</v>
      </c>
      <c r="Y10" s="3" t="s">
        <v>117</v>
      </c>
    </row>
    <row r="11" spans="1:25">
      <c r="A11" s="3" t="s">
        <v>125</v>
      </c>
      <c r="B11" s="8">
        <v>46059</v>
      </c>
      <c r="C11" s="8">
        <v>46064</v>
      </c>
      <c r="D11" s="8">
        <v>46084</v>
      </c>
      <c r="E11" s="3" t="s">
        <v>83</v>
      </c>
      <c r="F11" s="3" t="s">
        <v>96</v>
      </c>
      <c r="G11" s="3" t="s">
        <v>126</v>
      </c>
      <c r="H11" s="3" t="s">
        <v>86</v>
      </c>
      <c r="I11" s="3" t="s">
        <v>127</v>
      </c>
      <c r="J11" s="3" t="s">
        <v>88</v>
      </c>
      <c r="K11" s="3" t="s">
        <v>128</v>
      </c>
      <c r="L11" s="3" t="s">
        <v>129</v>
      </c>
      <c r="M11" s="3" t="s">
        <v>130</v>
      </c>
      <c r="N11" s="3">
        <v>1</v>
      </c>
      <c r="O11" s="9">
        <v>13280</v>
      </c>
      <c r="P11" s="10">
        <v>2396</v>
      </c>
      <c r="Q11" s="10">
        <v>1929</v>
      </c>
      <c r="R11" s="11">
        <f>P11-Q11</f>
        <v>467</v>
      </c>
      <c r="S11" s="12">
        <f>R11/P11</f>
        <v>0.19490818030050083</v>
      </c>
      <c r="T11" s="3">
        <v>19</v>
      </c>
      <c r="U11" s="3">
        <v>20</v>
      </c>
      <c r="V11" s="3" t="str">
        <f>IF(U11&lt;=T11+1,"On-Time","Late")</f>
        <v>On-Time</v>
      </c>
      <c r="W11" s="3" t="s">
        <v>79</v>
      </c>
      <c r="X11" s="3" t="s">
        <v>116</v>
      </c>
      <c r="Y11" s="3" t="s">
        <v>92</v>
      </c>
    </row>
    <row r="12" spans="1:25">
      <c r="A12" s="3" t="s">
        <v>131</v>
      </c>
      <c r="B12" s="8">
        <v>46165</v>
      </c>
      <c r="C12" s="8">
        <v>46175</v>
      </c>
      <c r="D12" s="8">
        <v>46178</v>
      </c>
      <c r="E12" s="3" t="s">
        <v>103</v>
      </c>
      <c r="F12" s="3" t="s">
        <v>96</v>
      </c>
      <c r="G12" s="3" t="s">
        <v>132</v>
      </c>
      <c r="H12" s="3" t="s">
        <v>105</v>
      </c>
      <c r="I12" s="3" t="s">
        <v>133</v>
      </c>
      <c r="J12" s="3" t="s">
        <v>107</v>
      </c>
      <c r="K12" s="3" t="s">
        <v>113</v>
      </c>
      <c r="L12" s="3" t="s">
        <v>114</v>
      </c>
      <c r="M12" s="3" t="s">
        <v>110</v>
      </c>
      <c r="N12" s="3">
        <v>3.8</v>
      </c>
      <c r="O12" s="9">
        <v>3800</v>
      </c>
      <c r="P12" s="10">
        <v>19121</v>
      </c>
      <c r="Q12" s="10">
        <v>15076</v>
      </c>
      <c r="R12" s="11">
        <f>P12-Q12</f>
        <v>4045</v>
      </c>
      <c r="S12" s="12">
        <f>R12/P12</f>
        <v>0.21154751320537629</v>
      </c>
      <c r="T12" s="3">
        <v>2</v>
      </c>
      <c r="U12" s="3">
        <v>3</v>
      </c>
      <c r="V12" s="3" t="str">
        <f>IF(U12&lt;=T12+1,"On-Time","Late")</f>
        <v>On-Time</v>
      </c>
      <c r="W12" s="3" t="s">
        <v>134</v>
      </c>
      <c r="X12" s="3" t="s">
        <v>116</v>
      </c>
      <c r="Y12" s="3" t="s">
        <v>92</v>
      </c>
    </row>
    <row r="13" spans="1:25">
      <c r="A13" s="3" t="s">
        <v>135</v>
      </c>
      <c r="B13" s="8">
        <v>46080</v>
      </c>
      <c r="C13" s="8">
        <v>46093</v>
      </c>
      <c r="D13" s="8">
        <v>46108</v>
      </c>
      <c r="E13" s="3" t="s">
        <v>83</v>
      </c>
      <c r="F13" s="3" t="s">
        <v>84</v>
      </c>
      <c r="G13" s="3" t="s">
        <v>98</v>
      </c>
      <c r="H13" s="3" t="s">
        <v>99</v>
      </c>
      <c r="I13" s="3" t="s">
        <v>100</v>
      </c>
      <c r="J13" s="3" t="s">
        <v>101</v>
      </c>
      <c r="K13" s="3" t="s">
        <v>76</v>
      </c>
      <c r="L13" s="3" t="s">
        <v>77</v>
      </c>
      <c r="M13" s="3" t="s">
        <v>136</v>
      </c>
      <c r="N13" s="3">
        <v>2</v>
      </c>
      <c r="O13" s="9">
        <v>29934</v>
      </c>
      <c r="P13" s="10">
        <v>6110</v>
      </c>
      <c r="Q13" s="10">
        <v>5223</v>
      </c>
      <c r="R13" s="11">
        <f>P13-Q13</f>
        <v>887</v>
      </c>
      <c r="S13" s="12">
        <f>R13/P13</f>
        <v>0.14517184942716857</v>
      </c>
      <c r="T13" s="3">
        <v>14</v>
      </c>
      <c r="U13" s="3">
        <v>15</v>
      </c>
      <c r="V13" s="3" t="str">
        <f>IF(U13&lt;=T13+1,"On-Time","Late")</f>
        <v>On-Time</v>
      </c>
      <c r="W13" s="3" t="s">
        <v>79</v>
      </c>
      <c r="X13" s="3" t="s">
        <v>80</v>
      </c>
      <c r="Y13" s="3" t="s">
        <v>137</v>
      </c>
    </row>
    <row r="14" spans="1:25">
      <c r="A14" s="3" t="s">
        <v>138</v>
      </c>
      <c r="B14" s="8">
        <v>46104</v>
      </c>
      <c r="C14" s="8">
        <v>46112</v>
      </c>
      <c r="D14" s="8">
        <v>46131</v>
      </c>
      <c r="E14" s="3" t="s">
        <v>83</v>
      </c>
      <c r="F14" s="3" t="s">
        <v>96</v>
      </c>
      <c r="G14" s="3" t="s">
        <v>85</v>
      </c>
      <c r="H14" s="3" t="s">
        <v>86</v>
      </c>
      <c r="I14" s="3" t="s">
        <v>87</v>
      </c>
      <c r="J14" s="3" t="s">
        <v>88</v>
      </c>
      <c r="K14" s="3" t="s">
        <v>128</v>
      </c>
      <c r="L14" s="3" t="s">
        <v>129</v>
      </c>
      <c r="M14" s="3" t="s">
        <v>91</v>
      </c>
      <c r="N14" s="3">
        <v>3</v>
      </c>
      <c r="O14" s="9">
        <v>36999</v>
      </c>
      <c r="P14" s="10">
        <v>7290</v>
      </c>
      <c r="Q14" s="10">
        <v>6328</v>
      </c>
      <c r="R14" s="11">
        <f>P14-Q14</f>
        <v>962</v>
      </c>
      <c r="S14" s="12">
        <f>R14/P14</f>
        <v>0.13196159122085049</v>
      </c>
      <c r="T14" s="3">
        <v>18</v>
      </c>
      <c r="U14" s="3">
        <v>19</v>
      </c>
      <c r="V14" s="3" t="str">
        <f>IF(U14&lt;=T14+1,"On-Time","Late")</f>
        <v>On-Time</v>
      </c>
      <c r="W14" s="3" t="s">
        <v>79</v>
      </c>
      <c r="X14" s="3" t="s">
        <v>116</v>
      </c>
      <c r="Y14" s="3" t="s">
        <v>81</v>
      </c>
    </row>
    <row r="15" spans="1:25">
      <c r="A15" s="3" t="s">
        <v>139</v>
      </c>
      <c r="B15" s="8">
        <v>46041</v>
      </c>
      <c r="C15" s="8">
        <v>46048</v>
      </c>
      <c r="D15" s="8">
        <v>46066</v>
      </c>
      <c r="E15" s="3" t="s">
        <v>83</v>
      </c>
      <c r="F15" s="3" t="s">
        <v>96</v>
      </c>
      <c r="G15" s="3" t="s">
        <v>140</v>
      </c>
      <c r="H15" s="3" t="s">
        <v>86</v>
      </c>
      <c r="I15" s="3" t="s">
        <v>141</v>
      </c>
      <c r="J15" s="3" t="s">
        <v>88</v>
      </c>
      <c r="K15" s="3" t="s">
        <v>89</v>
      </c>
      <c r="L15" s="3" t="s">
        <v>90</v>
      </c>
      <c r="M15" s="3" t="s">
        <v>136</v>
      </c>
      <c r="N15" s="3">
        <v>3</v>
      </c>
      <c r="O15" s="9">
        <v>51627</v>
      </c>
      <c r="P15" s="10">
        <v>9744</v>
      </c>
      <c r="Q15" s="10">
        <v>8276</v>
      </c>
      <c r="R15" s="11">
        <f>P15-Q15</f>
        <v>1468</v>
      </c>
      <c r="S15" s="12">
        <f>R15/P15</f>
        <v>0.15065681444991791</v>
      </c>
      <c r="T15" s="3">
        <v>18</v>
      </c>
      <c r="U15" s="3">
        <v>18</v>
      </c>
      <c r="V15" s="3" t="str">
        <f>IF(U15&lt;=T15+1,"On-Time","Late")</f>
        <v>On-Time</v>
      </c>
      <c r="W15" s="3" t="s">
        <v>79</v>
      </c>
      <c r="X15" s="3" t="s">
        <v>80</v>
      </c>
      <c r="Y15" s="3" t="s">
        <v>92</v>
      </c>
    </row>
    <row r="16" spans="1:25">
      <c r="A16" s="3" t="s">
        <v>142</v>
      </c>
      <c r="B16" s="8">
        <v>46107</v>
      </c>
      <c r="C16" s="8">
        <v>46121</v>
      </c>
      <c r="D16" s="8">
        <v>46124</v>
      </c>
      <c r="E16" s="3" t="s">
        <v>103</v>
      </c>
      <c r="F16" s="3" t="s">
        <v>96</v>
      </c>
      <c r="G16" s="3" t="s">
        <v>104</v>
      </c>
      <c r="H16" s="3" t="s">
        <v>105</v>
      </c>
      <c r="I16" s="3" t="s">
        <v>106</v>
      </c>
      <c r="J16" s="3" t="s">
        <v>107</v>
      </c>
      <c r="K16" s="3" t="s">
        <v>108</v>
      </c>
      <c r="L16" s="3" t="s">
        <v>109</v>
      </c>
      <c r="M16" s="3" t="s">
        <v>143</v>
      </c>
      <c r="N16" s="3">
        <v>1.3</v>
      </c>
      <c r="O16" s="9">
        <v>1300</v>
      </c>
      <c r="P16" s="10">
        <v>5151</v>
      </c>
      <c r="Q16" s="10">
        <v>4145</v>
      </c>
      <c r="R16" s="11">
        <f>P16-Q16</f>
        <v>1006</v>
      </c>
      <c r="S16" s="12">
        <f>R16/P16</f>
        <v>0.19530188312948943</v>
      </c>
      <c r="T16" s="3">
        <v>2</v>
      </c>
      <c r="U16" s="3">
        <v>3</v>
      </c>
      <c r="V16" s="3" t="str">
        <f>IF(U16&lt;=T16+1,"On-Time","Late")</f>
        <v>On-Time</v>
      </c>
      <c r="W16" s="3" t="s">
        <v>79</v>
      </c>
      <c r="X16" s="3" t="s">
        <v>111</v>
      </c>
      <c r="Y16" s="3" t="s">
        <v>94</v>
      </c>
    </row>
    <row r="17" spans="1:25">
      <c r="A17" s="3" t="s">
        <v>144</v>
      </c>
      <c r="B17" s="8">
        <v>46060</v>
      </c>
      <c r="C17" s="8">
        <v>46073</v>
      </c>
      <c r="D17" s="8">
        <v>46076</v>
      </c>
      <c r="E17" s="3" t="s">
        <v>103</v>
      </c>
      <c r="F17" s="3" t="s">
        <v>96</v>
      </c>
      <c r="G17" s="3" t="s">
        <v>132</v>
      </c>
      <c r="H17" s="3" t="s">
        <v>105</v>
      </c>
      <c r="I17" s="3" t="s">
        <v>133</v>
      </c>
      <c r="J17" s="3" t="s">
        <v>107</v>
      </c>
      <c r="K17" s="3" t="s">
        <v>113</v>
      </c>
      <c r="L17" s="3" t="s">
        <v>114</v>
      </c>
      <c r="M17" s="3" t="s">
        <v>110</v>
      </c>
      <c r="N17" s="3">
        <v>2.9</v>
      </c>
      <c r="O17" s="9">
        <v>2900</v>
      </c>
      <c r="P17" s="10">
        <v>13609</v>
      </c>
      <c r="Q17" s="10">
        <v>10986</v>
      </c>
      <c r="R17" s="11">
        <f>P17-Q17</f>
        <v>2623</v>
      </c>
      <c r="S17" s="12">
        <f>R17/P17</f>
        <v>0.19274009846425161</v>
      </c>
      <c r="T17" s="3">
        <v>2</v>
      </c>
      <c r="U17" s="3">
        <v>3</v>
      </c>
      <c r="V17" s="3" t="str">
        <f>IF(U17&lt;=T17+1,"On-Time","Late")</f>
        <v>On-Time</v>
      </c>
      <c r="W17" s="3" t="s">
        <v>79</v>
      </c>
      <c r="X17" s="3" t="s">
        <v>116</v>
      </c>
      <c r="Y17" s="3" t="s">
        <v>117</v>
      </c>
    </row>
    <row r="18" spans="1:25">
      <c r="A18" s="3" t="s">
        <v>145</v>
      </c>
      <c r="B18" s="8">
        <v>46126</v>
      </c>
      <c r="C18" s="8">
        <v>46133</v>
      </c>
      <c r="D18" s="8">
        <v>46136</v>
      </c>
      <c r="E18" s="3" t="s">
        <v>103</v>
      </c>
      <c r="F18" s="3" t="s">
        <v>96</v>
      </c>
      <c r="G18" s="3" t="s">
        <v>104</v>
      </c>
      <c r="H18" s="3" t="s">
        <v>105</v>
      </c>
      <c r="I18" s="3" t="s">
        <v>106</v>
      </c>
      <c r="J18" s="3" t="s">
        <v>107</v>
      </c>
      <c r="K18" s="3" t="s">
        <v>113</v>
      </c>
      <c r="L18" s="3" t="s">
        <v>114</v>
      </c>
      <c r="M18" s="3" t="s">
        <v>143</v>
      </c>
      <c r="N18" s="3">
        <v>1.6</v>
      </c>
      <c r="O18" s="9">
        <v>1600</v>
      </c>
      <c r="P18" s="10">
        <v>6376</v>
      </c>
      <c r="Q18" s="10">
        <v>5014</v>
      </c>
      <c r="R18" s="11">
        <f>P18-Q18</f>
        <v>1362</v>
      </c>
      <c r="S18" s="12">
        <f>R18/P18</f>
        <v>0.21361355081555836</v>
      </c>
      <c r="T18" s="3">
        <v>2</v>
      </c>
      <c r="U18" s="3">
        <v>3</v>
      </c>
      <c r="V18" s="3" t="str">
        <f>IF(U18&lt;=T18+1,"On-Time","Late")</f>
        <v>On-Time</v>
      </c>
      <c r="W18" s="3" t="s">
        <v>79</v>
      </c>
      <c r="X18" s="3" t="s">
        <v>116</v>
      </c>
      <c r="Y18" s="3" t="s">
        <v>94</v>
      </c>
    </row>
    <row r="19" spans="1:25">
      <c r="A19" s="3" t="s">
        <v>146</v>
      </c>
      <c r="B19" s="8">
        <v>46043</v>
      </c>
      <c r="C19" s="8">
        <v>46056</v>
      </c>
      <c r="D19" s="8">
        <v>46075</v>
      </c>
      <c r="E19" s="3" t="s">
        <v>83</v>
      </c>
      <c r="F19" s="3" t="s">
        <v>84</v>
      </c>
      <c r="G19" s="3" t="s">
        <v>85</v>
      </c>
      <c r="H19" s="3" t="s">
        <v>86</v>
      </c>
      <c r="I19" s="3" t="s">
        <v>87</v>
      </c>
      <c r="J19" s="3" t="s">
        <v>88</v>
      </c>
      <c r="K19" s="3" t="s">
        <v>89</v>
      </c>
      <c r="L19" s="3" t="s">
        <v>90</v>
      </c>
      <c r="M19" s="3" t="s">
        <v>147</v>
      </c>
      <c r="N19" s="3">
        <v>1</v>
      </c>
      <c r="O19" s="9">
        <v>17642</v>
      </c>
      <c r="P19" s="10">
        <v>2473</v>
      </c>
      <c r="Q19" s="10">
        <v>2117</v>
      </c>
      <c r="R19" s="11">
        <f>P19-Q19</f>
        <v>356</v>
      </c>
      <c r="S19" s="12">
        <f>R19/P19</f>
        <v>0.14395471087747674</v>
      </c>
      <c r="T19" s="3">
        <v>18</v>
      </c>
      <c r="U19" s="3">
        <v>19</v>
      </c>
      <c r="V19" s="3" t="str">
        <f>IF(U19&lt;=T19+1,"On-Time","Late")</f>
        <v>On-Time</v>
      </c>
      <c r="W19" s="3" t="s">
        <v>79</v>
      </c>
      <c r="X19" s="3" t="s">
        <v>80</v>
      </c>
      <c r="Y19" s="3" t="s">
        <v>92</v>
      </c>
    </row>
    <row r="20" spans="1:25">
      <c r="A20" s="3" t="s">
        <v>148</v>
      </c>
      <c r="B20" s="8">
        <v>46118</v>
      </c>
      <c r="C20" s="8">
        <v>46131</v>
      </c>
      <c r="D20" s="8">
        <v>46134</v>
      </c>
      <c r="E20" s="3" t="s">
        <v>103</v>
      </c>
      <c r="F20" s="3" t="s">
        <v>149</v>
      </c>
      <c r="G20" s="3" t="s">
        <v>150</v>
      </c>
      <c r="H20" s="3" t="s">
        <v>119</v>
      </c>
      <c r="I20" s="3" t="s">
        <v>151</v>
      </c>
      <c r="J20" s="3" t="s">
        <v>121</v>
      </c>
      <c r="K20" s="3" t="s">
        <v>152</v>
      </c>
      <c r="L20" s="3" t="s">
        <v>153</v>
      </c>
      <c r="M20" s="3" t="s">
        <v>110</v>
      </c>
      <c r="N20" s="3">
        <v>3.2</v>
      </c>
      <c r="O20" s="9">
        <v>3200</v>
      </c>
      <c r="P20" s="10">
        <v>14582</v>
      </c>
      <c r="Q20" s="10">
        <v>11146</v>
      </c>
      <c r="R20" s="11">
        <f>P20-Q20</f>
        <v>3436</v>
      </c>
      <c r="S20" s="12">
        <f>R20/P20</f>
        <v>0.23563297215745441</v>
      </c>
      <c r="T20" s="3">
        <v>3</v>
      </c>
      <c r="U20" s="3">
        <v>3</v>
      </c>
      <c r="V20" s="3" t="str">
        <f>IF(U20&lt;=T20+1,"On-Time","Late")</f>
        <v>On-Time</v>
      </c>
      <c r="W20" s="3" t="s">
        <v>79</v>
      </c>
      <c r="X20" s="3" t="s">
        <v>111</v>
      </c>
      <c r="Y20" s="3" t="s">
        <v>94</v>
      </c>
    </row>
    <row r="21" spans="1:25">
      <c r="A21" s="3" t="s">
        <v>154</v>
      </c>
      <c r="B21" s="8">
        <v>46111</v>
      </c>
      <c r="C21" s="8">
        <v>46121</v>
      </c>
      <c r="D21" s="8">
        <v>46124</v>
      </c>
      <c r="E21" s="3" t="s">
        <v>70</v>
      </c>
      <c r="F21" s="3" t="s">
        <v>96</v>
      </c>
      <c r="G21" s="3" t="s">
        <v>72</v>
      </c>
      <c r="H21" s="3" t="s">
        <v>73</v>
      </c>
      <c r="I21" s="3" t="s">
        <v>74</v>
      </c>
      <c r="J21" s="3" t="s">
        <v>75</v>
      </c>
      <c r="K21" s="3" t="s">
        <v>76</v>
      </c>
      <c r="L21" s="3" t="s">
        <v>77</v>
      </c>
      <c r="M21" s="3" t="s">
        <v>78</v>
      </c>
      <c r="N21" s="3">
        <v>4.4000000000000004</v>
      </c>
      <c r="O21" s="9">
        <v>4400</v>
      </c>
      <c r="P21" s="10">
        <v>1406</v>
      </c>
      <c r="Q21" s="10">
        <v>1053</v>
      </c>
      <c r="R21" s="11">
        <f>P21-Q21</f>
        <v>353</v>
      </c>
      <c r="S21" s="12">
        <f>R21/P21</f>
        <v>0.25106685633001424</v>
      </c>
      <c r="T21" s="3">
        <v>2</v>
      </c>
      <c r="U21" s="3">
        <v>3</v>
      </c>
      <c r="V21" s="3" t="str">
        <f>IF(U21&lt;=T21+1,"On-Time","Late")</f>
        <v>On-Time</v>
      </c>
      <c r="W21" s="3" t="s">
        <v>79</v>
      </c>
      <c r="X21" s="3" t="s">
        <v>80</v>
      </c>
      <c r="Y21" s="3" t="s">
        <v>94</v>
      </c>
    </row>
    <row r="22" spans="1:25">
      <c r="A22" s="3" t="s">
        <v>155</v>
      </c>
      <c r="B22" s="8">
        <v>46084</v>
      </c>
      <c r="C22" s="8">
        <v>46098</v>
      </c>
      <c r="D22" s="8">
        <v>46117</v>
      </c>
      <c r="E22" s="3" t="s">
        <v>83</v>
      </c>
      <c r="F22" s="3" t="s">
        <v>84</v>
      </c>
      <c r="G22" s="3" t="s">
        <v>126</v>
      </c>
      <c r="H22" s="3" t="s">
        <v>86</v>
      </c>
      <c r="I22" s="3" t="s">
        <v>127</v>
      </c>
      <c r="J22" s="3" t="s">
        <v>88</v>
      </c>
      <c r="K22" s="3" t="s">
        <v>156</v>
      </c>
      <c r="L22" s="3" t="s">
        <v>157</v>
      </c>
      <c r="M22" s="3" t="s">
        <v>130</v>
      </c>
      <c r="N22" s="3">
        <v>2</v>
      </c>
      <c r="O22" s="9">
        <v>34650</v>
      </c>
      <c r="P22" s="10">
        <v>5692</v>
      </c>
      <c r="Q22" s="10">
        <v>4783</v>
      </c>
      <c r="R22" s="11">
        <f>P22-Q22</f>
        <v>909</v>
      </c>
      <c r="S22" s="12">
        <f>R22/P22</f>
        <v>0.15969782150386508</v>
      </c>
      <c r="T22" s="3">
        <v>19</v>
      </c>
      <c r="U22" s="3">
        <v>19</v>
      </c>
      <c r="V22" s="3" t="str">
        <f>IF(U22&lt;=T22+1,"On-Time","Late")</f>
        <v>On-Time</v>
      </c>
      <c r="W22" s="3" t="s">
        <v>79</v>
      </c>
      <c r="X22" s="3" t="s">
        <v>111</v>
      </c>
      <c r="Y22" s="3" t="s">
        <v>117</v>
      </c>
    </row>
    <row r="23" spans="1:25">
      <c r="A23" s="3" t="s">
        <v>158</v>
      </c>
      <c r="B23" s="8">
        <v>46084</v>
      </c>
      <c r="C23" s="8">
        <v>46094</v>
      </c>
      <c r="D23" s="8">
        <v>46114</v>
      </c>
      <c r="E23" s="3" t="s">
        <v>83</v>
      </c>
      <c r="F23" s="3" t="s">
        <v>96</v>
      </c>
      <c r="G23" s="3" t="s">
        <v>126</v>
      </c>
      <c r="H23" s="3" t="s">
        <v>86</v>
      </c>
      <c r="I23" s="3" t="s">
        <v>127</v>
      </c>
      <c r="J23" s="3" t="s">
        <v>88</v>
      </c>
      <c r="K23" s="3" t="s">
        <v>156</v>
      </c>
      <c r="L23" s="3" t="s">
        <v>157</v>
      </c>
      <c r="M23" s="3" t="s">
        <v>136</v>
      </c>
      <c r="N23" s="3">
        <v>2</v>
      </c>
      <c r="O23" s="9">
        <v>28436</v>
      </c>
      <c r="P23" s="10">
        <v>4788</v>
      </c>
      <c r="Q23" s="10">
        <v>4003</v>
      </c>
      <c r="R23" s="11">
        <f>P23-Q23</f>
        <v>785</v>
      </c>
      <c r="S23" s="12">
        <f>R23/P23</f>
        <v>0.1639515455304929</v>
      </c>
      <c r="T23" s="3">
        <v>19</v>
      </c>
      <c r="U23" s="3">
        <v>20</v>
      </c>
      <c r="V23" s="3" t="str">
        <f>IF(U23&lt;=T23+1,"On-Time","Late")</f>
        <v>On-Time</v>
      </c>
      <c r="W23" s="3" t="s">
        <v>79</v>
      </c>
      <c r="X23" s="3" t="s">
        <v>111</v>
      </c>
      <c r="Y23" s="3" t="s">
        <v>117</v>
      </c>
    </row>
    <row r="24" spans="1:25">
      <c r="A24" s="3" t="s">
        <v>159</v>
      </c>
      <c r="B24" s="8">
        <v>46066</v>
      </c>
      <c r="C24" s="8">
        <v>46073</v>
      </c>
      <c r="D24" s="8">
        <v>46092</v>
      </c>
      <c r="E24" s="3" t="s">
        <v>83</v>
      </c>
      <c r="F24" s="3" t="s">
        <v>96</v>
      </c>
      <c r="G24" s="3" t="s">
        <v>126</v>
      </c>
      <c r="H24" s="3" t="s">
        <v>86</v>
      </c>
      <c r="I24" s="3" t="s">
        <v>127</v>
      </c>
      <c r="J24" s="3" t="s">
        <v>88</v>
      </c>
      <c r="K24" s="3" t="s">
        <v>160</v>
      </c>
      <c r="L24" s="3" t="s">
        <v>161</v>
      </c>
      <c r="M24" s="3" t="s">
        <v>136</v>
      </c>
      <c r="N24" s="3">
        <v>1</v>
      </c>
      <c r="O24" s="9">
        <v>19928</v>
      </c>
      <c r="P24" s="10">
        <v>2948</v>
      </c>
      <c r="Q24" s="10">
        <v>2425</v>
      </c>
      <c r="R24" s="11">
        <f>P24-Q24</f>
        <v>523</v>
      </c>
      <c r="S24" s="12">
        <f>R24/P24</f>
        <v>0.17740841248303935</v>
      </c>
      <c r="T24" s="3">
        <v>19</v>
      </c>
      <c r="U24" s="3">
        <v>19</v>
      </c>
      <c r="V24" s="3" t="str">
        <f>IF(U24&lt;=T24+1,"On-Time","Late")</f>
        <v>On-Time</v>
      </c>
      <c r="W24" s="3" t="s">
        <v>79</v>
      </c>
      <c r="X24" s="3" t="s">
        <v>116</v>
      </c>
      <c r="Y24" s="3" t="s">
        <v>92</v>
      </c>
    </row>
    <row r="25" spans="1:25">
      <c r="A25" s="3" t="s">
        <v>162</v>
      </c>
      <c r="B25" s="8">
        <v>46140</v>
      </c>
      <c r="C25" s="8">
        <v>46151</v>
      </c>
      <c r="D25" s="8">
        <v>46167</v>
      </c>
      <c r="E25" s="3" t="s">
        <v>83</v>
      </c>
      <c r="F25" s="3" t="s">
        <v>84</v>
      </c>
      <c r="G25" s="3" t="s">
        <v>163</v>
      </c>
      <c r="H25" s="3" t="s">
        <v>99</v>
      </c>
      <c r="I25" s="3" t="s">
        <v>164</v>
      </c>
      <c r="J25" s="3" t="s">
        <v>101</v>
      </c>
      <c r="K25" s="3" t="s">
        <v>165</v>
      </c>
      <c r="L25" s="3" t="s">
        <v>166</v>
      </c>
      <c r="M25" s="3" t="s">
        <v>167</v>
      </c>
      <c r="N25" s="3">
        <v>1</v>
      </c>
      <c r="O25" s="9">
        <v>10231</v>
      </c>
      <c r="P25" s="10">
        <v>2728</v>
      </c>
      <c r="Q25" s="10">
        <v>2334</v>
      </c>
      <c r="R25" s="11">
        <f>P25-Q25</f>
        <v>394</v>
      </c>
      <c r="S25" s="12">
        <f>R25/P25</f>
        <v>0.14442815249266863</v>
      </c>
      <c r="T25" s="3">
        <v>15</v>
      </c>
      <c r="U25" s="3">
        <v>16</v>
      </c>
      <c r="V25" s="3" t="str">
        <f>IF(U25&lt;=T25+1,"On-Time","Late")</f>
        <v>On-Time</v>
      </c>
      <c r="W25" s="3" t="s">
        <v>79</v>
      </c>
      <c r="X25" s="3" t="s">
        <v>111</v>
      </c>
      <c r="Y25" s="3" t="s">
        <v>94</v>
      </c>
    </row>
    <row r="26" spans="1:25">
      <c r="A26" s="3" t="s">
        <v>168</v>
      </c>
      <c r="B26" s="8">
        <v>46105</v>
      </c>
      <c r="C26" s="8">
        <v>46119</v>
      </c>
      <c r="D26" s="8">
        <v>46139</v>
      </c>
      <c r="E26" s="3" t="s">
        <v>83</v>
      </c>
      <c r="F26" s="3" t="s">
        <v>96</v>
      </c>
      <c r="G26" s="3" t="s">
        <v>126</v>
      </c>
      <c r="H26" s="3" t="s">
        <v>86</v>
      </c>
      <c r="I26" s="3" t="s">
        <v>127</v>
      </c>
      <c r="J26" s="3" t="s">
        <v>88</v>
      </c>
      <c r="K26" s="3" t="s">
        <v>128</v>
      </c>
      <c r="L26" s="3" t="s">
        <v>129</v>
      </c>
      <c r="M26" s="3" t="s">
        <v>147</v>
      </c>
      <c r="N26" s="3">
        <v>1</v>
      </c>
      <c r="O26" s="9">
        <v>17071</v>
      </c>
      <c r="P26" s="10">
        <v>2888</v>
      </c>
      <c r="Q26" s="10">
        <v>2441</v>
      </c>
      <c r="R26" s="11">
        <f>P26-Q26</f>
        <v>447</v>
      </c>
      <c r="S26" s="12">
        <f>R26/P26</f>
        <v>0.15477839335180055</v>
      </c>
      <c r="T26" s="3">
        <v>19</v>
      </c>
      <c r="U26" s="3">
        <v>20</v>
      </c>
      <c r="V26" s="3" t="str">
        <f>IF(U26&lt;=T26+1,"On-Time","Late")</f>
        <v>On-Time</v>
      </c>
      <c r="W26" s="3" t="s">
        <v>79</v>
      </c>
      <c r="X26" s="3" t="s">
        <v>116</v>
      </c>
      <c r="Y26" s="3" t="s">
        <v>137</v>
      </c>
    </row>
    <row r="27" spans="1:25">
      <c r="A27" s="3" t="s">
        <v>169</v>
      </c>
      <c r="B27" s="8">
        <v>46111</v>
      </c>
      <c r="C27" s="8">
        <v>46120</v>
      </c>
      <c r="D27" s="8">
        <v>46139</v>
      </c>
      <c r="E27" s="3" t="s">
        <v>83</v>
      </c>
      <c r="F27" s="3" t="s">
        <v>96</v>
      </c>
      <c r="G27" s="3" t="s">
        <v>126</v>
      </c>
      <c r="H27" s="3" t="s">
        <v>86</v>
      </c>
      <c r="I27" s="3" t="s">
        <v>127</v>
      </c>
      <c r="J27" s="3" t="s">
        <v>88</v>
      </c>
      <c r="K27" s="3" t="s">
        <v>156</v>
      </c>
      <c r="L27" s="3" t="s">
        <v>157</v>
      </c>
      <c r="M27" s="3" t="s">
        <v>91</v>
      </c>
      <c r="N27" s="3">
        <v>1</v>
      </c>
      <c r="O27" s="9">
        <v>11581</v>
      </c>
      <c r="P27" s="10">
        <v>2575</v>
      </c>
      <c r="Q27" s="10">
        <v>2117</v>
      </c>
      <c r="R27" s="11">
        <f>P27-Q27</f>
        <v>458</v>
      </c>
      <c r="S27" s="12">
        <f>R27/P27</f>
        <v>0.17786407766990292</v>
      </c>
      <c r="T27" s="3">
        <v>19</v>
      </c>
      <c r="U27" s="3">
        <v>19</v>
      </c>
      <c r="V27" s="3" t="str">
        <f>IF(U27&lt;=T27+1,"On-Time","Late")</f>
        <v>On-Time</v>
      </c>
      <c r="W27" s="3" t="s">
        <v>79</v>
      </c>
      <c r="X27" s="3" t="s">
        <v>111</v>
      </c>
      <c r="Y27" s="3" t="s">
        <v>94</v>
      </c>
    </row>
    <row r="28" spans="1:25">
      <c r="A28" s="3" t="s">
        <v>170</v>
      </c>
      <c r="B28" s="8">
        <v>46064</v>
      </c>
      <c r="C28" s="8">
        <v>46073</v>
      </c>
      <c r="D28" s="8">
        <v>46092</v>
      </c>
      <c r="E28" s="3" t="s">
        <v>83</v>
      </c>
      <c r="F28" s="3" t="s">
        <v>84</v>
      </c>
      <c r="G28" s="3" t="s">
        <v>85</v>
      </c>
      <c r="H28" s="3" t="s">
        <v>86</v>
      </c>
      <c r="I28" s="3" t="s">
        <v>87</v>
      </c>
      <c r="J28" s="3" t="s">
        <v>88</v>
      </c>
      <c r="K28" s="3" t="s">
        <v>89</v>
      </c>
      <c r="L28" s="3" t="s">
        <v>90</v>
      </c>
      <c r="M28" s="3" t="s">
        <v>91</v>
      </c>
      <c r="N28" s="3">
        <v>6</v>
      </c>
      <c r="O28" s="9">
        <v>124932</v>
      </c>
      <c r="P28" s="10">
        <v>15936</v>
      </c>
      <c r="Q28" s="10">
        <v>13552</v>
      </c>
      <c r="R28" s="11">
        <f>P28-Q28</f>
        <v>2384</v>
      </c>
      <c r="S28" s="12">
        <f>R28/P28</f>
        <v>0.14959839357429719</v>
      </c>
      <c r="T28" s="3">
        <v>18</v>
      </c>
      <c r="U28" s="3">
        <v>19</v>
      </c>
      <c r="V28" s="3" t="str">
        <f>IF(U28&lt;=T28+1,"On-Time","Late")</f>
        <v>On-Time</v>
      </c>
      <c r="W28" s="3" t="s">
        <v>79</v>
      </c>
      <c r="X28" s="3" t="s">
        <v>80</v>
      </c>
      <c r="Y28" s="3" t="s">
        <v>92</v>
      </c>
    </row>
    <row r="29" spans="1:25">
      <c r="A29" s="3" t="s">
        <v>171</v>
      </c>
      <c r="B29" s="8">
        <v>46167</v>
      </c>
      <c r="C29" s="8">
        <v>46173</v>
      </c>
      <c r="D29" s="8">
        <v>46176</v>
      </c>
      <c r="E29" s="3" t="s">
        <v>103</v>
      </c>
      <c r="F29" s="3" t="s">
        <v>96</v>
      </c>
      <c r="G29" s="3" t="s">
        <v>132</v>
      </c>
      <c r="H29" s="3" t="s">
        <v>105</v>
      </c>
      <c r="I29" s="3" t="s">
        <v>133</v>
      </c>
      <c r="J29" s="3" t="s">
        <v>107</v>
      </c>
      <c r="K29" s="3" t="s">
        <v>113</v>
      </c>
      <c r="L29" s="3" t="s">
        <v>114</v>
      </c>
      <c r="M29" s="3" t="s">
        <v>115</v>
      </c>
      <c r="N29" s="3">
        <v>3.3</v>
      </c>
      <c r="O29" s="9">
        <v>3300</v>
      </c>
      <c r="P29" s="10">
        <v>14496</v>
      </c>
      <c r="Q29" s="10">
        <v>11272</v>
      </c>
      <c r="R29" s="11">
        <f>P29-Q29</f>
        <v>3224</v>
      </c>
      <c r="S29" s="12">
        <f>R29/P29</f>
        <v>0.22240618101545254</v>
      </c>
      <c r="T29" s="3">
        <v>2</v>
      </c>
      <c r="U29" s="3">
        <v>3</v>
      </c>
      <c r="V29" s="3" t="str">
        <f>IF(U29&lt;=T29+1,"On-Time","Late")</f>
        <v>On-Time</v>
      </c>
      <c r="W29" s="3" t="s">
        <v>79</v>
      </c>
      <c r="X29" s="3" t="s">
        <v>116</v>
      </c>
      <c r="Y29" s="3" t="s">
        <v>137</v>
      </c>
    </row>
    <row r="30" spans="1:25">
      <c r="A30" s="3" t="s">
        <v>172</v>
      </c>
      <c r="B30" s="8">
        <v>46120</v>
      </c>
      <c r="C30" s="8">
        <v>46126</v>
      </c>
      <c r="D30" s="8">
        <v>46146</v>
      </c>
      <c r="E30" s="3" t="s">
        <v>83</v>
      </c>
      <c r="F30" s="3" t="s">
        <v>96</v>
      </c>
      <c r="G30" s="3" t="s">
        <v>126</v>
      </c>
      <c r="H30" s="3" t="s">
        <v>86</v>
      </c>
      <c r="I30" s="3" t="s">
        <v>127</v>
      </c>
      <c r="J30" s="3" t="s">
        <v>88</v>
      </c>
      <c r="K30" s="3" t="s">
        <v>160</v>
      </c>
      <c r="L30" s="3" t="s">
        <v>161</v>
      </c>
      <c r="M30" s="3" t="s">
        <v>147</v>
      </c>
      <c r="N30" s="3">
        <v>6</v>
      </c>
      <c r="O30" s="9">
        <v>113838</v>
      </c>
      <c r="P30" s="10">
        <v>19716</v>
      </c>
      <c r="Q30" s="10">
        <v>15901</v>
      </c>
      <c r="R30" s="11">
        <f>P30-Q30</f>
        <v>3815</v>
      </c>
      <c r="S30" s="12">
        <f>R30/P30</f>
        <v>0.19349766686954759</v>
      </c>
      <c r="T30" s="3">
        <v>19</v>
      </c>
      <c r="U30" s="3">
        <v>20</v>
      </c>
      <c r="V30" s="3" t="str">
        <f>IF(U30&lt;=T30+1,"On-Time","Late")</f>
        <v>On-Time</v>
      </c>
      <c r="W30" s="3" t="s">
        <v>79</v>
      </c>
      <c r="X30" s="3" t="s">
        <v>116</v>
      </c>
      <c r="Y30" s="3" t="s">
        <v>92</v>
      </c>
    </row>
    <row r="31" spans="1:25">
      <c r="A31" s="3" t="s">
        <v>173</v>
      </c>
      <c r="B31" s="8">
        <v>46076</v>
      </c>
      <c r="C31" s="8">
        <v>46086</v>
      </c>
      <c r="D31" s="8">
        <v>46105</v>
      </c>
      <c r="E31" s="3" t="s">
        <v>83</v>
      </c>
      <c r="F31" s="3" t="s">
        <v>96</v>
      </c>
      <c r="G31" s="3" t="s">
        <v>126</v>
      </c>
      <c r="H31" s="3" t="s">
        <v>86</v>
      </c>
      <c r="I31" s="3" t="s">
        <v>127</v>
      </c>
      <c r="J31" s="3" t="s">
        <v>88</v>
      </c>
      <c r="K31" s="3" t="s">
        <v>128</v>
      </c>
      <c r="L31" s="3" t="s">
        <v>129</v>
      </c>
      <c r="M31" s="3" t="s">
        <v>136</v>
      </c>
      <c r="N31" s="3">
        <v>1</v>
      </c>
      <c r="O31" s="9">
        <v>12598</v>
      </c>
      <c r="P31" s="10">
        <v>3002</v>
      </c>
      <c r="Q31" s="10">
        <v>2451</v>
      </c>
      <c r="R31" s="11">
        <f>P31-Q31</f>
        <v>551</v>
      </c>
      <c r="S31" s="12">
        <f>R31/P31</f>
        <v>0.18354430379746836</v>
      </c>
      <c r="T31" s="3">
        <v>19</v>
      </c>
      <c r="U31" s="3">
        <v>19</v>
      </c>
      <c r="V31" s="3" t="str">
        <f>IF(U31&lt;=T31+1,"On-Time","Late")</f>
        <v>On-Time</v>
      </c>
      <c r="W31" s="3" t="s">
        <v>79</v>
      </c>
      <c r="X31" s="3" t="s">
        <v>116</v>
      </c>
      <c r="Y31" s="3" t="s">
        <v>137</v>
      </c>
    </row>
    <row r="32" spans="1:25">
      <c r="A32" s="3" t="s">
        <v>174</v>
      </c>
      <c r="B32" s="8">
        <v>46119</v>
      </c>
      <c r="C32" s="8">
        <v>46133</v>
      </c>
      <c r="D32" s="8">
        <v>46149</v>
      </c>
      <c r="E32" s="3" t="s">
        <v>83</v>
      </c>
      <c r="F32" s="3" t="s">
        <v>96</v>
      </c>
      <c r="G32" s="3" t="s">
        <v>98</v>
      </c>
      <c r="H32" s="3" t="s">
        <v>99</v>
      </c>
      <c r="I32" s="3" t="s">
        <v>100</v>
      </c>
      <c r="J32" s="3" t="s">
        <v>101</v>
      </c>
      <c r="K32" s="3" t="s">
        <v>76</v>
      </c>
      <c r="L32" s="3" t="s">
        <v>77</v>
      </c>
      <c r="M32" s="3" t="s">
        <v>136</v>
      </c>
      <c r="N32" s="3">
        <v>1</v>
      </c>
      <c r="O32" s="9">
        <v>15040</v>
      </c>
      <c r="P32" s="10">
        <v>2648</v>
      </c>
      <c r="Q32" s="10">
        <v>2163</v>
      </c>
      <c r="R32" s="11">
        <f>P32-Q32</f>
        <v>485</v>
      </c>
      <c r="S32" s="12">
        <f>R32/P32</f>
        <v>0.18315709969788518</v>
      </c>
      <c r="T32" s="3">
        <v>14</v>
      </c>
      <c r="U32" s="3">
        <v>16</v>
      </c>
      <c r="V32" s="3" t="str">
        <f>IF(U32&lt;=T32+1,"On-Time","Late")</f>
        <v>Late</v>
      </c>
      <c r="W32" s="3" t="s">
        <v>79</v>
      </c>
      <c r="X32" s="3" t="s">
        <v>80</v>
      </c>
      <c r="Y32" s="3" t="s">
        <v>81</v>
      </c>
    </row>
    <row r="33" spans="1:25">
      <c r="A33" s="3" t="s">
        <v>175</v>
      </c>
      <c r="B33" s="8">
        <v>46115</v>
      </c>
      <c r="C33" s="8">
        <v>46128</v>
      </c>
      <c r="D33" s="8">
        <v>46148</v>
      </c>
      <c r="E33" s="3" t="s">
        <v>83</v>
      </c>
      <c r="F33" s="3" t="s">
        <v>96</v>
      </c>
      <c r="G33" s="3" t="s">
        <v>126</v>
      </c>
      <c r="H33" s="3" t="s">
        <v>86</v>
      </c>
      <c r="I33" s="3" t="s">
        <v>127</v>
      </c>
      <c r="J33" s="3" t="s">
        <v>88</v>
      </c>
      <c r="K33" s="3" t="s">
        <v>128</v>
      </c>
      <c r="L33" s="3" t="s">
        <v>129</v>
      </c>
      <c r="M33" s="3" t="s">
        <v>167</v>
      </c>
      <c r="N33" s="3">
        <v>6</v>
      </c>
      <c r="O33" s="9">
        <v>113322</v>
      </c>
      <c r="P33" s="10">
        <v>17706</v>
      </c>
      <c r="Q33" s="10">
        <v>14220</v>
      </c>
      <c r="R33" s="11">
        <f>P33-Q33</f>
        <v>3486</v>
      </c>
      <c r="S33" s="12">
        <f>R33/P33</f>
        <v>0.19688241274144358</v>
      </c>
      <c r="T33" s="3">
        <v>19</v>
      </c>
      <c r="U33" s="3">
        <v>20</v>
      </c>
      <c r="V33" s="3" t="str">
        <f>IF(U33&lt;=T33+1,"On-Time","Late")</f>
        <v>On-Time</v>
      </c>
      <c r="W33" s="3" t="s">
        <v>79</v>
      </c>
      <c r="X33" s="3" t="s">
        <v>116</v>
      </c>
      <c r="Y33" s="3" t="s">
        <v>137</v>
      </c>
    </row>
    <row r="34" spans="1:25">
      <c r="A34" s="3" t="s">
        <v>176</v>
      </c>
      <c r="B34" s="8">
        <v>46120</v>
      </c>
      <c r="C34" s="8">
        <v>46127</v>
      </c>
      <c r="D34" s="8">
        <v>46146</v>
      </c>
      <c r="E34" s="3" t="s">
        <v>83</v>
      </c>
      <c r="F34" s="3" t="s">
        <v>84</v>
      </c>
      <c r="G34" s="3" t="s">
        <v>85</v>
      </c>
      <c r="H34" s="3" t="s">
        <v>86</v>
      </c>
      <c r="I34" s="3" t="s">
        <v>87</v>
      </c>
      <c r="J34" s="3" t="s">
        <v>88</v>
      </c>
      <c r="K34" s="3" t="s">
        <v>128</v>
      </c>
      <c r="L34" s="3" t="s">
        <v>129</v>
      </c>
      <c r="M34" s="3" t="s">
        <v>147</v>
      </c>
      <c r="N34" s="3">
        <v>1</v>
      </c>
      <c r="O34" s="9">
        <v>10361</v>
      </c>
      <c r="P34" s="10">
        <v>2662</v>
      </c>
      <c r="Q34" s="10">
        <v>2336</v>
      </c>
      <c r="R34" s="11">
        <f>P34-Q34</f>
        <v>326</v>
      </c>
      <c r="S34" s="12">
        <f>R34/P34</f>
        <v>0.12246431254695718</v>
      </c>
      <c r="T34" s="3">
        <v>18</v>
      </c>
      <c r="U34" s="3">
        <v>19</v>
      </c>
      <c r="V34" s="3" t="str">
        <f>IF(U34&lt;=T34+1,"On-Time","Late")</f>
        <v>On-Time</v>
      </c>
      <c r="W34" s="3" t="s">
        <v>79</v>
      </c>
      <c r="X34" s="3" t="s">
        <v>116</v>
      </c>
      <c r="Y34" s="3" t="s">
        <v>81</v>
      </c>
    </row>
    <row r="35" spans="1:25">
      <c r="A35" s="3" t="s">
        <v>177</v>
      </c>
      <c r="B35" s="8">
        <v>46033</v>
      </c>
      <c r="C35" s="8">
        <v>46043</v>
      </c>
      <c r="D35" s="8">
        <v>46058</v>
      </c>
      <c r="E35" s="3" t="s">
        <v>83</v>
      </c>
      <c r="F35" s="3" t="s">
        <v>96</v>
      </c>
      <c r="G35" s="3" t="s">
        <v>98</v>
      </c>
      <c r="H35" s="3" t="s">
        <v>99</v>
      </c>
      <c r="I35" s="3" t="s">
        <v>100</v>
      </c>
      <c r="J35" s="3" t="s">
        <v>101</v>
      </c>
      <c r="K35" s="3" t="s">
        <v>165</v>
      </c>
      <c r="L35" s="3" t="s">
        <v>166</v>
      </c>
      <c r="M35" s="3" t="s">
        <v>147</v>
      </c>
      <c r="N35" s="3">
        <v>3</v>
      </c>
      <c r="O35" s="9">
        <v>55509</v>
      </c>
      <c r="P35" s="10">
        <v>9015</v>
      </c>
      <c r="Q35" s="10">
        <v>7699</v>
      </c>
      <c r="R35" s="11">
        <f>P35-Q35</f>
        <v>1316</v>
      </c>
      <c r="S35" s="12">
        <f>R35/P35</f>
        <v>0.14597892401552967</v>
      </c>
      <c r="T35" s="3">
        <v>14</v>
      </c>
      <c r="U35" s="3">
        <v>15</v>
      </c>
      <c r="V35" s="3" t="str">
        <f>IF(U35&lt;=T35+1,"On-Time","Late")</f>
        <v>On-Time</v>
      </c>
      <c r="W35" s="3" t="s">
        <v>79</v>
      </c>
      <c r="X35" s="3" t="s">
        <v>111</v>
      </c>
      <c r="Y35" s="3" t="s">
        <v>117</v>
      </c>
    </row>
    <row r="36" spans="1:25">
      <c r="A36" s="3" t="s">
        <v>178</v>
      </c>
      <c r="B36" s="8">
        <v>46009</v>
      </c>
      <c r="C36" s="8">
        <v>46023</v>
      </c>
      <c r="D36" s="8">
        <v>46041</v>
      </c>
      <c r="E36" s="3" t="s">
        <v>83</v>
      </c>
      <c r="F36" s="3" t="s">
        <v>84</v>
      </c>
      <c r="G36" s="3" t="s">
        <v>85</v>
      </c>
      <c r="H36" s="3" t="s">
        <v>86</v>
      </c>
      <c r="I36" s="3" t="s">
        <v>87</v>
      </c>
      <c r="J36" s="3" t="s">
        <v>88</v>
      </c>
      <c r="K36" s="3" t="s">
        <v>156</v>
      </c>
      <c r="L36" s="3" t="s">
        <v>157</v>
      </c>
      <c r="M36" s="3" t="s">
        <v>147</v>
      </c>
      <c r="N36" s="3">
        <v>1</v>
      </c>
      <c r="O36" s="9">
        <v>14957</v>
      </c>
      <c r="P36" s="10">
        <v>2928</v>
      </c>
      <c r="Q36" s="10">
        <v>2431</v>
      </c>
      <c r="R36" s="11">
        <f>P36-Q36</f>
        <v>497</v>
      </c>
      <c r="S36" s="12">
        <f>R36/P36</f>
        <v>0.16974043715846995</v>
      </c>
      <c r="T36" s="3">
        <v>18</v>
      </c>
      <c r="U36" s="3">
        <v>18</v>
      </c>
      <c r="V36" s="3" t="str">
        <f>IF(U36&lt;=T36+1,"On-Time","Late")</f>
        <v>On-Time</v>
      </c>
      <c r="W36" s="3" t="s">
        <v>79</v>
      </c>
      <c r="X36" s="3" t="s">
        <v>111</v>
      </c>
      <c r="Y36" s="3" t="s">
        <v>137</v>
      </c>
    </row>
    <row r="37" spans="1:25">
      <c r="A37" s="3" t="s">
        <v>179</v>
      </c>
      <c r="B37" s="8">
        <v>46133</v>
      </c>
      <c r="C37" s="8">
        <v>46138</v>
      </c>
      <c r="D37" s="8">
        <v>46140</v>
      </c>
      <c r="E37" s="3" t="s">
        <v>103</v>
      </c>
      <c r="F37" s="3" t="s">
        <v>149</v>
      </c>
      <c r="G37" s="3" t="s">
        <v>104</v>
      </c>
      <c r="H37" s="3" t="s">
        <v>105</v>
      </c>
      <c r="I37" s="3" t="s">
        <v>106</v>
      </c>
      <c r="J37" s="3" t="s">
        <v>107</v>
      </c>
      <c r="K37" s="3" t="s">
        <v>113</v>
      </c>
      <c r="L37" s="3" t="s">
        <v>114</v>
      </c>
      <c r="M37" s="3" t="s">
        <v>143</v>
      </c>
      <c r="N37" s="3">
        <v>4.4000000000000004</v>
      </c>
      <c r="O37" s="9">
        <v>4400</v>
      </c>
      <c r="P37" s="10">
        <v>18748</v>
      </c>
      <c r="Q37" s="10">
        <v>14543</v>
      </c>
      <c r="R37" s="11">
        <f>P37-Q37</f>
        <v>4205</v>
      </c>
      <c r="S37" s="12">
        <f>R37/P37</f>
        <v>0.22429059099637294</v>
      </c>
      <c r="T37" s="3">
        <v>2</v>
      </c>
      <c r="U37" s="3">
        <v>2</v>
      </c>
      <c r="V37" s="3" t="str">
        <f>IF(U37&lt;=T37+1,"On-Time","Late")</f>
        <v>On-Time</v>
      </c>
      <c r="W37" s="3" t="s">
        <v>79</v>
      </c>
      <c r="X37" s="3" t="s">
        <v>116</v>
      </c>
      <c r="Y37" s="3" t="s">
        <v>94</v>
      </c>
    </row>
    <row r="38" spans="1:25">
      <c r="A38" s="3" t="s">
        <v>180</v>
      </c>
      <c r="B38" s="8">
        <v>46079</v>
      </c>
      <c r="C38" s="8">
        <v>46092</v>
      </c>
      <c r="D38" s="8">
        <v>46111</v>
      </c>
      <c r="E38" s="3" t="s">
        <v>83</v>
      </c>
      <c r="F38" s="3" t="s">
        <v>96</v>
      </c>
      <c r="G38" s="3" t="s">
        <v>85</v>
      </c>
      <c r="H38" s="3" t="s">
        <v>86</v>
      </c>
      <c r="I38" s="3" t="s">
        <v>87</v>
      </c>
      <c r="J38" s="3" t="s">
        <v>88</v>
      </c>
      <c r="K38" s="3" t="s">
        <v>156</v>
      </c>
      <c r="L38" s="3" t="s">
        <v>157</v>
      </c>
      <c r="M38" s="3" t="s">
        <v>130</v>
      </c>
      <c r="N38" s="3">
        <v>3</v>
      </c>
      <c r="O38" s="9">
        <v>33351</v>
      </c>
      <c r="P38" s="10">
        <v>7032</v>
      </c>
      <c r="Q38" s="10">
        <v>6051</v>
      </c>
      <c r="R38" s="11">
        <f>P38-Q38</f>
        <v>981</v>
      </c>
      <c r="S38" s="12">
        <f>R38/P38</f>
        <v>0.13950511945392491</v>
      </c>
      <c r="T38" s="3">
        <v>18</v>
      </c>
      <c r="U38" s="3">
        <v>19</v>
      </c>
      <c r="V38" s="3" t="str">
        <f>IF(U38&lt;=T38+1,"On-Time","Late")</f>
        <v>On-Time</v>
      </c>
      <c r="W38" s="3" t="s">
        <v>79</v>
      </c>
      <c r="X38" s="3" t="s">
        <v>111</v>
      </c>
      <c r="Y38" s="3" t="s">
        <v>92</v>
      </c>
    </row>
    <row r="39" spans="1:25">
      <c r="A39" s="3" t="s">
        <v>181</v>
      </c>
      <c r="B39" s="8">
        <v>46095</v>
      </c>
      <c r="C39" s="8">
        <v>46104</v>
      </c>
      <c r="D39" s="8">
        <v>46123</v>
      </c>
      <c r="E39" s="3" t="s">
        <v>83</v>
      </c>
      <c r="F39" s="3" t="s">
        <v>96</v>
      </c>
      <c r="G39" s="3" t="s">
        <v>85</v>
      </c>
      <c r="H39" s="3" t="s">
        <v>86</v>
      </c>
      <c r="I39" s="3" t="s">
        <v>87</v>
      </c>
      <c r="J39" s="3" t="s">
        <v>88</v>
      </c>
      <c r="K39" s="3" t="s">
        <v>89</v>
      </c>
      <c r="L39" s="3" t="s">
        <v>90</v>
      </c>
      <c r="M39" s="3" t="s">
        <v>167</v>
      </c>
      <c r="N39" s="3">
        <v>2</v>
      </c>
      <c r="O39" s="9">
        <v>29686</v>
      </c>
      <c r="P39" s="10">
        <v>5956</v>
      </c>
      <c r="Q39" s="10">
        <v>5158</v>
      </c>
      <c r="R39" s="11">
        <f>P39-Q39</f>
        <v>798</v>
      </c>
      <c r="S39" s="12">
        <f>R39/P39</f>
        <v>0.13398253861652115</v>
      </c>
      <c r="T39" s="3">
        <v>18</v>
      </c>
      <c r="U39" s="3">
        <v>19</v>
      </c>
      <c r="V39" s="3" t="str">
        <f>IF(U39&lt;=T39+1,"On-Time","Late")</f>
        <v>On-Time</v>
      </c>
      <c r="W39" s="3" t="s">
        <v>79</v>
      </c>
      <c r="X39" s="3" t="s">
        <v>80</v>
      </c>
      <c r="Y39" s="3" t="s">
        <v>81</v>
      </c>
    </row>
    <row r="40" spans="1:25">
      <c r="A40" s="3" t="s">
        <v>182</v>
      </c>
      <c r="B40" s="8">
        <v>46159</v>
      </c>
      <c r="C40" s="8">
        <v>46171</v>
      </c>
      <c r="D40" s="8">
        <v>46174</v>
      </c>
      <c r="E40" s="3" t="s">
        <v>103</v>
      </c>
      <c r="F40" s="3" t="s">
        <v>71</v>
      </c>
      <c r="G40" s="3" t="s">
        <v>132</v>
      </c>
      <c r="H40" s="3" t="s">
        <v>105</v>
      </c>
      <c r="I40" s="3" t="s">
        <v>133</v>
      </c>
      <c r="J40" s="3" t="s">
        <v>107</v>
      </c>
      <c r="K40" s="3" t="s">
        <v>113</v>
      </c>
      <c r="L40" s="3" t="s">
        <v>114</v>
      </c>
      <c r="M40" s="3" t="s">
        <v>115</v>
      </c>
      <c r="N40" s="3">
        <v>3.6</v>
      </c>
      <c r="O40" s="9">
        <v>3600</v>
      </c>
      <c r="P40" s="10">
        <v>16610</v>
      </c>
      <c r="Q40" s="10">
        <v>13440</v>
      </c>
      <c r="R40" s="11">
        <f>P40-Q40</f>
        <v>3170</v>
      </c>
      <c r="S40" s="12">
        <f>R40/P40</f>
        <v>0.19084888621312462</v>
      </c>
      <c r="T40" s="3">
        <v>2</v>
      </c>
      <c r="U40" s="3">
        <v>3</v>
      </c>
      <c r="V40" s="3" t="str">
        <f>IF(U40&lt;=T40+1,"On-Time","Late")</f>
        <v>On-Time</v>
      </c>
      <c r="W40" s="3" t="s">
        <v>183</v>
      </c>
      <c r="X40" s="3" t="s">
        <v>116</v>
      </c>
      <c r="Y40" s="3" t="s">
        <v>117</v>
      </c>
    </row>
    <row r="41" spans="1:25">
      <c r="A41" s="3" t="s">
        <v>184</v>
      </c>
      <c r="B41" s="8">
        <v>46025</v>
      </c>
      <c r="C41" s="8">
        <v>46034</v>
      </c>
      <c r="D41" s="8">
        <v>46052</v>
      </c>
      <c r="E41" s="3" t="s">
        <v>83</v>
      </c>
      <c r="F41" s="3" t="s">
        <v>96</v>
      </c>
      <c r="G41" s="3" t="s">
        <v>140</v>
      </c>
      <c r="H41" s="3" t="s">
        <v>86</v>
      </c>
      <c r="I41" s="3" t="s">
        <v>141</v>
      </c>
      <c r="J41" s="3" t="s">
        <v>88</v>
      </c>
      <c r="K41" s="3" t="s">
        <v>156</v>
      </c>
      <c r="L41" s="3" t="s">
        <v>157</v>
      </c>
      <c r="M41" s="3" t="s">
        <v>136</v>
      </c>
      <c r="N41" s="3">
        <v>4</v>
      </c>
      <c r="O41" s="9">
        <v>51996</v>
      </c>
      <c r="P41" s="10">
        <v>9532</v>
      </c>
      <c r="Q41" s="10">
        <v>7899</v>
      </c>
      <c r="R41" s="11">
        <f>P41-Q41</f>
        <v>1633</v>
      </c>
      <c r="S41" s="12">
        <f>R41/P41</f>
        <v>0.17131766680654636</v>
      </c>
      <c r="T41" s="3">
        <v>18</v>
      </c>
      <c r="U41" s="3">
        <v>18</v>
      </c>
      <c r="V41" s="3" t="str">
        <f>IF(U41&lt;=T41+1,"On-Time","Late")</f>
        <v>On-Time</v>
      </c>
      <c r="W41" s="3" t="s">
        <v>79</v>
      </c>
      <c r="X41" s="3" t="s">
        <v>111</v>
      </c>
      <c r="Y41" s="3" t="s">
        <v>137</v>
      </c>
    </row>
    <row r="42" spans="1:25">
      <c r="A42" s="3" t="s">
        <v>185</v>
      </c>
      <c r="B42" s="8">
        <v>46092</v>
      </c>
      <c r="C42" s="8">
        <v>46101</v>
      </c>
      <c r="D42" s="8">
        <v>46105</v>
      </c>
      <c r="E42" s="3" t="s">
        <v>103</v>
      </c>
      <c r="F42" s="3" t="s">
        <v>71</v>
      </c>
      <c r="G42" s="3" t="s">
        <v>150</v>
      </c>
      <c r="H42" s="3" t="s">
        <v>119</v>
      </c>
      <c r="I42" s="3" t="s">
        <v>151</v>
      </c>
      <c r="J42" s="3" t="s">
        <v>121</v>
      </c>
      <c r="K42" s="3" t="s">
        <v>160</v>
      </c>
      <c r="L42" s="3" t="s">
        <v>161</v>
      </c>
      <c r="M42" s="3" t="s">
        <v>110</v>
      </c>
      <c r="N42" s="3">
        <v>2.4</v>
      </c>
      <c r="O42" s="9">
        <v>2400</v>
      </c>
      <c r="P42" s="10">
        <v>12004</v>
      </c>
      <c r="Q42" s="10">
        <v>9303</v>
      </c>
      <c r="R42" s="11">
        <f>P42-Q42</f>
        <v>2701</v>
      </c>
      <c r="S42" s="12">
        <f>R42/P42</f>
        <v>0.22500833055648117</v>
      </c>
      <c r="T42" s="3">
        <v>3</v>
      </c>
      <c r="U42" s="3">
        <v>4</v>
      </c>
      <c r="V42" s="3" t="str">
        <f>IF(U42&lt;=T42+1,"On-Time","Late")</f>
        <v>On-Time</v>
      </c>
      <c r="W42" s="3" t="s">
        <v>79</v>
      </c>
      <c r="X42" s="3" t="s">
        <v>116</v>
      </c>
      <c r="Y42" s="3" t="s">
        <v>94</v>
      </c>
    </row>
    <row r="43" spans="1:25">
      <c r="A43" s="3" t="s">
        <v>186</v>
      </c>
      <c r="B43" s="8">
        <v>46045</v>
      </c>
      <c r="C43" s="8">
        <v>46053</v>
      </c>
      <c r="D43" s="8">
        <v>46073</v>
      </c>
      <c r="E43" s="3" t="s">
        <v>83</v>
      </c>
      <c r="F43" s="3" t="s">
        <v>84</v>
      </c>
      <c r="G43" s="3" t="s">
        <v>126</v>
      </c>
      <c r="H43" s="3" t="s">
        <v>86</v>
      </c>
      <c r="I43" s="3" t="s">
        <v>127</v>
      </c>
      <c r="J43" s="3" t="s">
        <v>88</v>
      </c>
      <c r="K43" s="3" t="s">
        <v>128</v>
      </c>
      <c r="L43" s="3" t="s">
        <v>129</v>
      </c>
      <c r="M43" s="3" t="s">
        <v>167</v>
      </c>
      <c r="N43" s="3">
        <v>2</v>
      </c>
      <c r="O43" s="9">
        <v>30450</v>
      </c>
      <c r="P43" s="10">
        <v>4918</v>
      </c>
      <c r="Q43" s="10">
        <v>4091</v>
      </c>
      <c r="R43" s="11">
        <f>P43-Q43</f>
        <v>827</v>
      </c>
      <c r="S43" s="12">
        <f>R43/P43</f>
        <v>0.16815778771858478</v>
      </c>
      <c r="T43" s="3">
        <v>19</v>
      </c>
      <c r="U43" s="3">
        <v>20</v>
      </c>
      <c r="V43" s="3" t="str">
        <f>IF(U43&lt;=T43+1,"On-Time","Late")</f>
        <v>On-Time</v>
      </c>
      <c r="W43" s="3" t="s">
        <v>79</v>
      </c>
      <c r="X43" s="3" t="s">
        <v>116</v>
      </c>
      <c r="Y43" s="3" t="s">
        <v>117</v>
      </c>
    </row>
    <row r="44" spans="1:25">
      <c r="A44" s="3" t="s">
        <v>187</v>
      </c>
      <c r="B44" s="8">
        <v>46123</v>
      </c>
      <c r="C44" s="8">
        <v>46133</v>
      </c>
      <c r="D44" s="8">
        <v>46152</v>
      </c>
      <c r="E44" s="3" t="s">
        <v>83</v>
      </c>
      <c r="F44" s="3" t="s">
        <v>96</v>
      </c>
      <c r="G44" s="3" t="s">
        <v>126</v>
      </c>
      <c r="H44" s="3" t="s">
        <v>86</v>
      </c>
      <c r="I44" s="3" t="s">
        <v>127</v>
      </c>
      <c r="J44" s="3" t="s">
        <v>88</v>
      </c>
      <c r="K44" s="3" t="s">
        <v>128</v>
      </c>
      <c r="L44" s="3" t="s">
        <v>129</v>
      </c>
      <c r="M44" s="3" t="s">
        <v>91</v>
      </c>
      <c r="N44" s="3">
        <v>4</v>
      </c>
      <c r="O44" s="9">
        <v>68520</v>
      </c>
      <c r="P44" s="10">
        <v>9752</v>
      </c>
      <c r="Q44" s="10">
        <v>7928</v>
      </c>
      <c r="R44" s="11">
        <f>P44-Q44</f>
        <v>1824</v>
      </c>
      <c r="S44" s="12">
        <f>R44/P44</f>
        <v>0.18703855619360132</v>
      </c>
      <c r="T44" s="3">
        <v>19</v>
      </c>
      <c r="U44" s="3">
        <v>19</v>
      </c>
      <c r="V44" s="3" t="str">
        <f>IF(U44&lt;=T44+1,"On-Time","Late")</f>
        <v>On-Time</v>
      </c>
      <c r="W44" s="3" t="s">
        <v>79</v>
      </c>
      <c r="X44" s="3" t="s">
        <v>116</v>
      </c>
      <c r="Y44" s="3" t="s">
        <v>137</v>
      </c>
    </row>
    <row r="45" spans="1:25">
      <c r="A45" s="3" t="s">
        <v>188</v>
      </c>
      <c r="B45" s="8">
        <v>46115</v>
      </c>
      <c r="C45" s="8">
        <v>46123</v>
      </c>
      <c r="D45" s="8">
        <v>46142</v>
      </c>
      <c r="E45" s="3" t="s">
        <v>83</v>
      </c>
      <c r="F45" s="3" t="s">
        <v>96</v>
      </c>
      <c r="G45" s="3" t="s">
        <v>126</v>
      </c>
      <c r="H45" s="3" t="s">
        <v>86</v>
      </c>
      <c r="I45" s="3" t="s">
        <v>127</v>
      </c>
      <c r="J45" s="3" t="s">
        <v>88</v>
      </c>
      <c r="K45" s="3" t="s">
        <v>156</v>
      </c>
      <c r="L45" s="3" t="s">
        <v>157</v>
      </c>
      <c r="M45" s="3" t="s">
        <v>130</v>
      </c>
      <c r="N45" s="3">
        <v>1</v>
      </c>
      <c r="O45" s="9">
        <v>14842</v>
      </c>
      <c r="P45" s="10">
        <v>2487</v>
      </c>
      <c r="Q45" s="10">
        <v>1989</v>
      </c>
      <c r="R45" s="11">
        <f>P45-Q45</f>
        <v>498</v>
      </c>
      <c r="S45" s="12">
        <f>R45/P45</f>
        <v>0.20024125452352232</v>
      </c>
      <c r="T45" s="3">
        <v>19</v>
      </c>
      <c r="U45" s="3">
        <v>19</v>
      </c>
      <c r="V45" s="3" t="str">
        <f>IF(U45&lt;=T45+1,"On-Time","Late")</f>
        <v>On-Time</v>
      </c>
      <c r="W45" s="3" t="s">
        <v>79</v>
      </c>
      <c r="X45" s="3" t="s">
        <v>111</v>
      </c>
      <c r="Y45" s="3" t="s">
        <v>137</v>
      </c>
    </row>
    <row r="46" spans="1:25">
      <c r="A46" s="3" t="s">
        <v>189</v>
      </c>
      <c r="B46" s="8">
        <v>46055</v>
      </c>
      <c r="C46" s="8">
        <v>46069</v>
      </c>
      <c r="D46" s="8">
        <v>46072</v>
      </c>
      <c r="E46" s="3" t="s">
        <v>103</v>
      </c>
      <c r="F46" s="3" t="s">
        <v>96</v>
      </c>
      <c r="G46" s="3" t="s">
        <v>104</v>
      </c>
      <c r="H46" s="3" t="s">
        <v>105</v>
      </c>
      <c r="I46" s="3" t="s">
        <v>106</v>
      </c>
      <c r="J46" s="3" t="s">
        <v>107</v>
      </c>
      <c r="K46" s="3" t="s">
        <v>113</v>
      </c>
      <c r="L46" s="3" t="s">
        <v>114</v>
      </c>
      <c r="M46" s="3" t="s">
        <v>110</v>
      </c>
      <c r="N46" s="3">
        <v>1.2</v>
      </c>
      <c r="O46" s="9">
        <v>1200</v>
      </c>
      <c r="P46" s="10">
        <v>5316</v>
      </c>
      <c r="Q46" s="10">
        <v>4281</v>
      </c>
      <c r="R46" s="11">
        <f>P46-Q46</f>
        <v>1035</v>
      </c>
      <c r="S46" s="12">
        <f>R46/P46</f>
        <v>0.19469525959367945</v>
      </c>
      <c r="T46" s="3">
        <v>2</v>
      </c>
      <c r="U46" s="3">
        <v>3</v>
      </c>
      <c r="V46" s="3" t="str">
        <f>IF(U46&lt;=T46+1,"On-Time","Late")</f>
        <v>On-Time</v>
      </c>
      <c r="W46" s="3" t="s">
        <v>79</v>
      </c>
      <c r="X46" s="3" t="s">
        <v>116</v>
      </c>
      <c r="Y46" s="3" t="s">
        <v>92</v>
      </c>
    </row>
    <row r="47" spans="1:25">
      <c r="A47" s="3" t="s">
        <v>190</v>
      </c>
      <c r="B47" s="8">
        <v>46069</v>
      </c>
      <c r="C47" s="8">
        <v>46080</v>
      </c>
      <c r="D47" s="8">
        <v>46100</v>
      </c>
      <c r="E47" s="3" t="s">
        <v>83</v>
      </c>
      <c r="F47" s="3" t="s">
        <v>96</v>
      </c>
      <c r="G47" s="3" t="s">
        <v>85</v>
      </c>
      <c r="H47" s="3" t="s">
        <v>86</v>
      </c>
      <c r="I47" s="3" t="s">
        <v>87</v>
      </c>
      <c r="J47" s="3" t="s">
        <v>88</v>
      </c>
      <c r="K47" s="3" t="s">
        <v>156</v>
      </c>
      <c r="L47" s="3" t="s">
        <v>157</v>
      </c>
      <c r="M47" s="3" t="s">
        <v>136</v>
      </c>
      <c r="N47" s="3">
        <v>3</v>
      </c>
      <c r="O47" s="9">
        <v>51219</v>
      </c>
      <c r="P47" s="10">
        <v>7992</v>
      </c>
      <c r="Q47" s="10">
        <v>6830</v>
      </c>
      <c r="R47" s="11">
        <f>P47-Q47</f>
        <v>1162</v>
      </c>
      <c r="S47" s="12">
        <f>R47/P47</f>
        <v>0.14539539539539539</v>
      </c>
      <c r="T47" s="3">
        <v>18</v>
      </c>
      <c r="U47" s="3">
        <v>20</v>
      </c>
      <c r="V47" s="3" t="str">
        <f>IF(U47&lt;=T47+1,"On-Time","Late")</f>
        <v>Late</v>
      </c>
      <c r="W47" s="3" t="s">
        <v>79</v>
      </c>
      <c r="X47" s="3" t="s">
        <v>111</v>
      </c>
      <c r="Y47" s="3" t="s">
        <v>137</v>
      </c>
    </row>
    <row r="48" spans="1:25">
      <c r="A48" s="3" t="s">
        <v>191</v>
      </c>
      <c r="B48" s="8">
        <v>46066</v>
      </c>
      <c r="C48" s="8">
        <v>46080</v>
      </c>
      <c r="D48" s="8">
        <v>46100</v>
      </c>
      <c r="E48" s="3" t="s">
        <v>83</v>
      </c>
      <c r="F48" s="3" t="s">
        <v>84</v>
      </c>
      <c r="G48" s="3" t="s">
        <v>126</v>
      </c>
      <c r="H48" s="3" t="s">
        <v>86</v>
      </c>
      <c r="I48" s="3" t="s">
        <v>127</v>
      </c>
      <c r="J48" s="3" t="s">
        <v>88</v>
      </c>
      <c r="K48" s="3" t="s">
        <v>156</v>
      </c>
      <c r="L48" s="3" t="s">
        <v>157</v>
      </c>
      <c r="M48" s="3" t="s">
        <v>130</v>
      </c>
      <c r="N48" s="3">
        <v>1</v>
      </c>
      <c r="O48" s="9">
        <v>17989</v>
      </c>
      <c r="P48" s="10">
        <v>2861</v>
      </c>
      <c r="Q48" s="10">
        <v>2307</v>
      </c>
      <c r="R48" s="11">
        <f>P48-Q48</f>
        <v>554</v>
      </c>
      <c r="S48" s="12">
        <f>R48/P48</f>
        <v>0.19363858790632646</v>
      </c>
      <c r="T48" s="3">
        <v>19</v>
      </c>
      <c r="U48" s="3">
        <v>20</v>
      </c>
      <c r="V48" s="3" t="str">
        <f>IF(U48&lt;=T48+1,"On-Time","Late")</f>
        <v>On-Time</v>
      </c>
      <c r="W48" s="3" t="s">
        <v>79</v>
      </c>
      <c r="X48" s="3" t="s">
        <v>111</v>
      </c>
      <c r="Y48" s="3" t="s">
        <v>81</v>
      </c>
    </row>
    <row r="49" spans="1:25">
      <c r="A49" s="3" t="s">
        <v>192</v>
      </c>
      <c r="B49" s="8">
        <v>46018</v>
      </c>
      <c r="C49" s="8">
        <v>46026</v>
      </c>
      <c r="D49" s="8">
        <v>46041</v>
      </c>
      <c r="E49" s="3" t="s">
        <v>83</v>
      </c>
      <c r="F49" s="3" t="s">
        <v>96</v>
      </c>
      <c r="G49" s="3" t="s">
        <v>163</v>
      </c>
      <c r="H49" s="3" t="s">
        <v>99</v>
      </c>
      <c r="I49" s="3" t="s">
        <v>164</v>
      </c>
      <c r="J49" s="3" t="s">
        <v>101</v>
      </c>
      <c r="K49" s="3" t="s">
        <v>76</v>
      </c>
      <c r="L49" s="3" t="s">
        <v>77</v>
      </c>
      <c r="M49" s="3" t="s">
        <v>130</v>
      </c>
      <c r="N49" s="3">
        <v>2</v>
      </c>
      <c r="O49" s="9">
        <v>30196</v>
      </c>
      <c r="P49" s="10">
        <v>4732</v>
      </c>
      <c r="Q49" s="10">
        <v>3925</v>
      </c>
      <c r="R49" s="11">
        <f>P49-Q49</f>
        <v>807</v>
      </c>
      <c r="S49" s="12">
        <f>R49/P49</f>
        <v>0.17054099746407439</v>
      </c>
      <c r="T49" s="3">
        <v>15</v>
      </c>
      <c r="U49" s="3">
        <v>15</v>
      </c>
      <c r="V49" s="3" t="str">
        <f>IF(U49&lt;=T49+1,"On-Time","Late")</f>
        <v>On-Time</v>
      </c>
      <c r="W49" s="3" t="s">
        <v>79</v>
      </c>
      <c r="X49" s="3" t="s">
        <v>80</v>
      </c>
      <c r="Y49" s="3" t="s">
        <v>137</v>
      </c>
    </row>
    <row r="50" spans="1:25">
      <c r="A50" s="3" t="s">
        <v>193</v>
      </c>
      <c r="B50" s="8">
        <v>46020</v>
      </c>
      <c r="C50" s="8">
        <v>46027</v>
      </c>
      <c r="D50" s="8">
        <v>46029</v>
      </c>
      <c r="E50" s="3" t="s">
        <v>103</v>
      </c>
      <c r="F50" s="3" t="s">
        <v>71</v>
      </c>
      <c r="G50" s="3" t="s">
        <v>132</v>
      </c>
      <c r="H50" s="3" t="s">
        <v>105</v>
      </c>
      <c r="I50" s="3" t="s">
        <v>133</v>
      </c>
      <c r="J50" s="3" t="s">
        <v>107</v>
      </c>
      <c r="K50" s="3" t="s">
        <v>113</v>
      </c>
      <c r="L50" s="3" t="s">
        <v>114</v>
      </c>
      <c r="M50" s="3" t="s">
        <v>143</v>
      </c>
      <c r="N50" s="3">
        <v>1.5</v>
      </c>
      <c r="O50" s="9">
        <v>1500</v>
      </c>
      <c r="P50" s="10">
        <v>7245</v>
      </c>
      <c r="Q50" s="10">
        <v>5601</v>
      </c>
      <c r="R50" s="11">
        <f>P50-Q50</f>
        <v>1644</v>
      </c>
      <c r="S50" s="12">
        <f>R50/P50</f>
        <v>0.2269151138716356</v>
      </c>
      <c r="T50" s="3">
        <v>2</v>
      </c>
      <c r="U50" s="3">
        <v>2</v>
      </c>
      <c r="V50" s="3" t="str">
        <f>IF(U50&lt;=T50+1,"On-Time","Late")</f>
        <v>On-Time</v>
      </c>
      <c r="W50" s="3" t="s">
        <v>79</v>
      </c>
      <c r="X50" s="3" t="s">
        <v>116</v>
      </c>
      <c r="Y50" s="3" t="s">
        <v>94</v>
      </c>
    </row>
    <row r="51" spans="1:25">
      <c r="A51" s="3" t="s">
        <v>194</v>
      </c>
      <c r="B51" s="8">
        <v>46130</v>
      </c>
      <c r="C51" s="8">
        <v>46142</v>
      </c>
      <c r="D51" s="8">
        <v>46160</v>
      </c>
      <c r="E51" s="3" t="s">
        <v>83</v>
      </c>
      <c r="F51" s="3" t="s">
        <v>84</v>
      </c>
      <c r="G51" s="3" t="s">
        <v>85</v>
      </c>
      <c r="H51" s="3" t="s">
        <v>86</v>
      </c>
      <c r="I51" s="3" t="s">
        <v>87</v>
      </c>
      <c r="J51" s="3" t="s">
        <v>88</v>
      </c>
      <c r="K51" s="3" t="s">
        <v>156</v>
      </c>
      <c r="L51" s="3" t="s">
        <v>157</v>
      </c>
      <c r="M51" s="3" t="s">
        <v>91</v>
      </c>
      <c r="N51" s="3">
        <v>4</v>
      </c>
      <c r="O51" s="9">
        <v>68440</v>
      </c>
      <c r="P51" s="10">
        <v>11436</v>
      </c>
      <c r="Q51" s="10">
        <v>10140</v>
      </c>
      <c r="R51" s="11">
        <f>P51-Q51</f>
        <v>1296</v>
      </c>
      <c r="S51" s="12">
        <f>R51/P51</f>
        <v>0.11332633788037776</v>
      </c>
      <c r="T51" s="3">
        <v>18</v>
      </c>
      <c r="U51" s="3">
        <v>18</v>
      </c>
      <c r="V51" s="3" t="str">
        <f>IF(U51&lt;=T51+1,"On-Time","Late")</f>
        <v>On-Time</v>
      </c>
      <c r="W51" s="3" t="s">
        <v>79</v>
      </c>
      <c r="X51" s="3" t="s">
        <v>111</v>
      </c>
      <c r="Y51" s="3" t="s">
        <v>94</v>
      </c>
    </row>
    <row r="52" spans="1:25">
      <c r="A52" s="3" t="s">
        <v>195</v>
      </c>
      <c r="B52" s="8">
        <v>46159</v>
      </c>
      <c r="C52" s="8">
        <v>46172</v>
      </c>
      <c r="D52" s="8">
        <v>46190</v>
      </c>
      <c r="E52" s="3" t="s">
        <v>83</v>
      </c>
      <c r="F52" s="3" t="s">
        <v>96</v>
      </c>
      <c r="G52" s="3" t="s">
        <v>85</v>
      </c>
      <c r="H52" s="3" t="s">
        <v>86</v>
      </c>
      <c r="I52" s="3" t="s">
        <v>87</v>
      </c>
      <c r="J52" s="3" t="s">
        <v>88</v>
      </c>
      <c r="K52" s="3" t="s">
        <v>156</v>
      </c>
      <c r="L52" s="3" t="s">
        <v>157</v>
      </c>
      <c r="M52" s="3" t="s">
        <v>147</v>
      </c>
      <c r="N52" s="3">
        <v>6</v>
      </c>
      <c r="O52" s="9">
        <v>123912</v>
      </c>
      <c r="P52" s="10">
        <v>17994</v>
      </c>
      <c r="Q52" s="10">
        <v>16178</v>
      </c>
      <c r="R52" s="11">
        <f>P52-Q52</f>
        <v>1816</v>
      </c>
      <c r="S52" s="12">
        <f>R52/P52</f>
        <v>0.10092252973213293</v>
      </c>
      <c r="T52" s="3">
        <v>18</v>
      </c>
      <c r="U52" s="3">
        <v>18</v>
      </c>
      <c r="V52" s="3" t="str">
        <f>IF(U52&lt;=T52+1,"On-Time","Late")</f>
        <v>On-Time</v>
      </c>
      <c r="W52" s="3" t="s">
        <v>196</v>
      </c>
      <c r="X52" s="3" t="s">
        <v>111</v>
      </c>
      <c r="Y52" s="3" t="s">
        <v>81</v>
      </c>
    </row>
    <row r="53" spans="1:25">
      <c r="A53" s="3" t="s">
        <v>197</v>
      </c>
      <c r="B53" s="8">
        <v>46024</v>
      </c>
      <c r="C53" s="8">
        <v>46030</v>
      </c>
      <c r="D53" s="8">
        <v>46032</v>
      </c>
      <c r="E53" s="3" t="s">
        <v>70</v>
      </c>
      <c r="F53" s="3" t="s">
        <v>71</v>
      </c>
      <c r="G53" s="3" t="s">
        <v>72</v>
      </c>
      <c r="H53" s="3" t="s">
        <v>73</v>
      </c>
      <c r="I53" s="3" t="s">
        <v>74</v>
      </c>
      <c r="J53" s="3" t="s">
        <v>75</v>
      </c>
      <c r="K53" s="3" t="s">
        <v>123</v>
      </c>
      <c r="L53" s="3" t="s">
        <v>124</v>
      </c>
      <c r="M53" s="3" t="s">
        <v>78</v>
      </c>
      <c r="N53" s="3">
        <v>4.5</v>
      </c>
      <c r="O53" s="9">
        <v>4500</v>
      </c>
      <c r="P53" s="10">
        <v>2772</v>
      </c>
      <c r="Q53" s="10">
        <v>2099</v>
      </c>
      <c r="R53" s="11">
        <f>P53-Q53</f>
        <v>673</v>
      </c>
      <c r="S53" s="12">
        <f>R53/P53</f>
        <v>0.2427849927849928</v>
      </c>
      <c r="T53" s="3">
        <v>2</v>
      </c>
      <c r="U53" s="3">
        <v>2</v>
      </c>
      <c r="V53" s="3" t="str">
        <f>IF(U53&lt;=T53+1,"On-Time","Late")</f>
        <v>On-Time</v>
      </c>
      <c r="W53" s="3" t="s">
        <v>79</v>
      </c>
      <c r="X53" s="3" t="s">
        <v>80</v>
      </c>
      <c r="Y53" s="3" t="s">
        <v>137</v>
      </c>
    </row>
    <row r="54" spans="1:25">
      <c r="A54" s="3" t="s">
        <v>198</v>
      </c>
      <c r="B54" s="8">
        <v>46090</v>
      </c>
      <c r="C54" s="8">
        <v>46100</v>
      </c>
      <c r="D54" s="8">
        <v>46116</v>
      </c>
      <c r="E54" s="3" t="s">
        <v>83</v>
      </c>
      <c r="F54" s="3" t="s">
        <v>96</v>
      </c>
      <c r="G54" s="3" t="s">
        <v>163</v>
      </c>
      <c r="H54" s="3" t="s">
        <v>99</v>
      </c>
      <c r="I54" s="3" t="s">
        <v>164</v>
      </c>
      <c r="J54" s="3" t="s">
        <v>101</v>
      </c>
      <c r="K54" s="3" t="s">
        <v>165</v>
      </c>
      <c r="L54" s="3" t="s">
        <v>166</v>
      </c>
      <c r="M54" s="3" t="s">
        <v>147</v>
      </c>
      <c r="N54" s="3">
        <v>1</v>
      </c>
      <c r="O54" s="9">
        <v>13648</v>
      </c>
      <c r="P54" s="10">
        <v>3134</v>
      </c>
      <c r="Q54" s="10">
        <v>2572</v>
      </c>
      <c r="R54" s="11">
        <f>P54-Q54</f>
        <v>562</v>
      </c>
      <c r="S54" s="12">
        <f>R54/P54</f>
        <v>0.17932354818123802</v>
      </c>
      <c r="T54" s="3">
        <v>15</v>
      </c>
      <c r="U54" s="3">
        <v>16</v>
      </c>
      <c r="V54" s="3" t="str">
        <f>IF(U54&lt;=T54+1,"On-Time","Late")</f>
        <v>On-Time</v>
      </c>
      <c r="W54" s="3" t="s">
        <v>79</v>
      </c>
      <c r="X54" s="3" t="s">
        <v>111</v>
      </c>
      <c r="Y54" s="3" t="s">
        <v>92</v>
      </c>
    </row>
    <row r="55" spans="1:25">
      <c r="A55" s="3" t="s">
        <v>199</v>
      </c>
      <c r="B55" s="8">
        <v>46107</v>
      </c>
      <c r="C55" s="8">
        <v>46115</v>
      </c>
      <c r="D55" s="8">
        <v>46133</v>
      </c>
      <c r="E55" s="3" t="s">
        <v>83</v>
      </c>
      <c r="F55" s="3" t="s">
        <v>84</v>
      </c>
      <c r="G55" s="3" t="s">
        <v>85</v>
      </c>
      <c r="H55" s="3" t="s">
        <v>86</v>
      </c>
      <c r="I55" s="3" t="s">
        <v>87</v>
      </c>
      <c r="J55" s="3" t="s">
        <v>88</v>
      </c>
      <c r="K55" s="3" t="s">
        <v>89</v>
      </c>
      <c r="L55" s="3" t="s">
        <v>90</v>
      </c>
      <c r="M55" s="3" t="s">
        <v>147</v>
      </c>
      <c r="N55" s="3">
        <v>6</v>
      </c>
      <c r="O55" s="9">
        <v>55518</v>
      </c>
      <c r="P55" s="10">
        <v>14424</v>
      </c>
      <c r="Q55" s="10">
        <v>12692</v>
      </c>
      <c r="R55" s="11">
        <f>P55-Q55</f>
        <v>1732</v>
      </c>
      <c r="S55" s="12">
        <f>R55/P55</f>
        <v>0.12007764836383805</v>
      </c>
      <c r="T55" s="3">
        <v>18</v>
      </c>
      <c r="U55" s="3">
        <v>18</v>
      </c>
      <c r="V55" s="3" t="str">
        <f>IF(U55&lt;=T55+1,"On-Time","Late")</f>
        <v>On-Time</v>
      </c>
      <c r="W55" s="3" t="s">
        <v>79</v>
      </c>
      <c r="X55" s="3" t="s">
        <v>80</v>
      </c>
      <c r="Y55" s="3" t="s">
        <v>137</v>
      </c>
    </row>
    <row r="56" spans="1:25">
      <c r="A56" s="3" t="s">
        <v>200</v>
      </c>
      <c r="B56" s="8">
        <v>46133</v>
      </c>
      <c r="C56" s="8">
        <v>46145</v>
      </c>
      <c r="D56" s="8">
        <v>46160</v>
      </c>
      <c r="E56" s="3" t="s">
        <v>83</v>
      </c>
      <c r="F56" s="3" t="s">
        <v>84</v>
      </c>
      <c r="G56" s="3" t="s">
        <v>163</v>
      </c>
      <c r="H56" s="3" t="s">
        <v>99</v>
      </c>
      <c r="I56" s="3" t="s">
        <v>164</v>
      </c>
      <c r="J56" s="3" t="s">
        <v>101</v>
      </c>
      <c r="K56" s="3" t="s">
        <v>76</v>
      </c>
      <c r="L56" s="3" t="s">
        <v>77</v>
      </c>
      <c r="M56" s="3" t="s">
        <v>167</v>
      </c>
      <c r="N56" s="3">
        <v>4</v>
      </c>
      <c r="O56" s="9">
        <v>44536</v>
      </c>
      <c r="P56" s="10">
        <v>9536</v>
      </c>
      <c r="Q56" s="10">
        <v>8163</v>
      </c>
      <c r="R56" s="11">
        <f>P56-Q56</f>
        <v>1373</v>
      </c>
      <c r="S56" s="12">
        <f>R56/P56</f>
        <v>0.14398070469798657</v>
      </c>
      <c r="T56" s="3">
        <v>15</v>
      </c>
      <c r="U56" s="3">
        <v>15</v>
      </c>
      <c r="V56" s="3" t="str">
        <f>IF(U56&lt;=T56+1,"On-Time","Late")</f>
        <v>On-Time</v>
      </c>
      <c r="W56" s="3" t="s">
        <v>79</v>
      </c>
      <c r="X56" s="3" t="s">
        <v>80</v>
      </c>
      <c r="Y56" s="3" t="s">
        <v>117</v>
      </c>
    </row>
    <row r="57" spans="1:25">
      <c r="A57" s="3" t="s">
        <v>201</v>
      </c>
      <c r="B57" s="8">
        <v>46140</v>
      </c>
      <c r="C57" s="8">
        <v>46147</v>
      </c>
      <c r="D57" s="8">
        <v>46150</v>
      </c>
      <c r="E57" s="3" t="s">
        <v>103</v>
      </c>
      <c r="F57" s="3" t="s">
        <v>96</v>
      </c>
      <c r="G57" s="3" t="s">
        <v>150</v>
      </c>
      <c r="H57" s="3" t="s">
        <v>119</v>
      </c>
      <c r="I57" s="3" t="s">
        <v>151</v>
      </c>
      <c r="J57" s="3" t="s">
        <v>121</v>
      </c>
      <c r="K57" s="3" t="s">
        <v>152</v>
      </c>
      <c r="L57" s="3" t="s">
        <v>153</v>
      </c>
      <c r="M57" s="3" t="s">
        <v>110</v>
      </c>
      <c r="N57" s="3">
        <v>1.6</v>
      </c>
      <c r="O57" s="9">
        <v>1600</v>
      </c>
      <c r="P57" s="10">
        <v>7676</v>
      </c>
      <c r="Q57" s="10">
        <v>5996</v>
      </c>
      <c r="R57" s="11">
        <f>P57-Q57</f>
        <v>1680</v>
      </c>
      <c r="S57" s="12">
        <f>R57/P57</f>
        <v>0.21886399166232412</v>
      </c>
      <c r="T57" s="3">
        <v>3</v>
      </c>
      <c r="U57" s="3">
        <v>3</v>
      </c>
      <c r="V57" s="3" t="str">
        <f>IF(U57&lt;=T57+1,"On-Time","Late")</f>
        <v>On-Time</v>
      </c>
      <c r="W57" s="3" t="s">
        <v>79</v>
      </c>
      <c r="X57" s="3" t="s">
        <v>111</v>
      </c>
      <c r="Y57" s="3" t="s">
        <v>81</v>
      </c>
    </row>
    <row r="58" spans="1:25">
      <c r="A58" s="3" t="s">
        <v>202</v>
      </c>
      <c r="B58" s="8">
        <v>46061</v>
      </c>
      <c r="C58" s="8">
        <v>46067</v>
      </c>
      <c r="D58" s="8">
        <v>46070</v>
      </c>
      <c r="E58" s="3" t="s">
        <v>103</v>
      </c>
      <c r="F58" s="3" t="s">
        <v>149</v>
      </c>
      <c r="G58" s="3" t="s">
        <v>150</v>
      </c>
      <c r="H58" s="3" t="s">
        <v>119</v>
      </c>
      <c r="I58" s="3" t="s">
        <v>151</v>
      </c>
      <c r="J58" s="3" t="s">
        <v>121</v>
      </c>
      <c r="K58" s="3" t="s">
        <v>160</v>
      </c>
      <c r="L58" s="3" t="s">
        <v>161</v>
      </c>
      <c r="M58" s="3" t="s">
        <v>115</v>
      </c>
      <c r="N58" s="3">
        <v>4.9000000000000004</v>
      </c>
      <c r="O58" s="9">
        <v>4900</v>
      </c>
      <c r="P58" s="10">
        <v>19031</v>
      </c>
      <c r="Q58" s="10">
        <v>15062</v>
      </c>
      <c r="R58" s="11">
        <f>P58-Q58</f>
        <v>3969</v>
      </c>
      <c r="S58" s="12">
        <f>R58/P58</f>
        <v>0.20855446376963901</v>
      </c>
      <c r="T58" s="3">
        <v>3</v>
      </c>
      <c r="U58" s="3">
        <v>3</v>
      </c>
      <c r="V58" s="3" t="str">
        <f>IF(U58&lt;=T58+1,"On-Time","Late")</f>
        <v>On-Time</v>
      </c>
      <c r="W58" s="3" t="s">
        <v>79</v>
      </c>
      <c r="X58" s="3" t="s">
        <v>116</v>
      </c>
      <c r="Y58" s="3" t="s">
        <v>92</v>
      </c>
    </row>
    <row r="59" spans="1:25">
      <c r="A59" s="3" t="s">
        <v>203</v>
      </c>
      <c r="B59" s="8">
        <v>46019</v>
      </c>
      <c r="C59" s="8">
        <v>46030</v>
      </c>
      <c r="D59" s="8">
        <v>46050</v>
      </c>
      <c r="E59" s="3" t="s">
        <v>83</v>
      </c>
      <c r="F59" s="3" t="s">
        <v>96</v>
      </c>
      <c r="G59" s="3" t="s">
        <v>126</v>
      </c>
      <c r="H59" s="3" t="s">
        <v>86</v>
      </c>
      <c r="I59" s="3" t="s">
        <v>127</v>
      </c>
      <c r="J59" s="3" t="s">
        <v>88</v>
      </c>
      <c r="K59" s="3" t="s">
        <v>156</v>
      </c>
      <c r="L59" s="3" t="s">
        <v>157</v>
      </c>
      <c r="M59" s="3" t="s">
        <v>91</v>
      </c>
      <c r="N59" s="3">
        <v>1</v>
      </c>
      <c r="O59" s="9">
        <v>11725</v>
      </c>
      <c r="P59" s="10">
        <v>2759</v>
      </c>
      <c r="Q59" s="10">
        <v>2262</v>
      </c>
      <c r="R59" s="11">
        <f>P59-Q59</f>
        <v>497</v>
      </c>
      <c r="S59" s="12">
        <f>R59/P59</f>
        <v>0.18013773106197897</v>
      </c>
      <c r="T59" s="3">
        <v>19</v>
      </c>
      <c r="U59" s="3">
        <v>20</v>
      </c>
      <c r="V59" s="3" t="str">
        <f>IF(U59&lt;=T59+1,"On-Time","Late")</f>
        <v>On-Time</v>
      </c>
      <c r="W59" s="3" t="s">
        <v>79</v>
      </c>
      <c r="X59" s="3" t="s">
        <v>111</v>
      </c>
      <c r="Y59" s="3" t="s">
        <v>137</v>
      </c>
    </row>
    <row r="60" spans="1:25">
      <c r="A60" s="3" t="s">
        <v>204</v>
      </c>
      <c r="B60" s="8">
        <v>46127</v>
      </c>
      <c r="C60" s="8">
        <v>46134</v>
      </c>
      <c r="D60" s="8">
        <v>46138</v>
      </c>
      <c r="E60" s="3" t="s">
        <v>103</v>
      </c>
      <c r="F60" s="3" t="s">
        <v>96</v>
      </c>
      <c r="G60" s="3" t="s">
        <v>104</v>
      </c>
      <c r="H60" s="3" t="s">
        <v>105</v>
      </c>
      <c r="I60" s="3" t="s">
        <v>106</v>
      </c>
      <c r="J60" s="3" t="s">
        <v>107</v>
      </c>
      <c r="K60" s="3" t="s">
        <v>123</v>
      </c>
      <c r="L60" s="3" t="s">
        <v>124</v>
      </c>
      <c r="M60" s="3" t="s">
        <v>115</v>
      </c>
      <c r="N60" s="3">
        <v>3.2</v>
      </c>
      <c r="O60" s="9">
        <v>3200</v>
      </c>
      <c r="P60" s="10">
        <v>15670</v>
      </c>
      <c r="Q60" s="10">
        <v>12083</v>
      </c>
      <c r="R60" s="11">
        <f>P60-Q60</f>
        <v>3587</v>
      </c>
      <c r="S60" s="12">
        <f>R60/P60</f>
        <v>0.22890874282067644</v>
      </c>
      <c r="T60" s="3">
        <v>2</v>
      </c>
      <c r="U60" s="3">
        <v>4</v>
      </c>
      <c r="V60" s="3" t="str">
        <f>IF(U60&lt;=T60+1,"On-Time","Late")</f>
        <v>Late</v>
      </c>
      <c r="W60" s="3" t="s">
        <v>79</v>
      </c>
      <c r="X60" s="3" t="s">
        <v>80</v>
      </c>
      <c r="Y60" s="3" t="s">
        <v>137</v>
      </c>
    </row>
    <row r="61" spans="1:25">
      <c r="A61" s="3" t="s">
        <v>205</v>
      </c>
      <c r="B61" s="8">
        <v>46081</v>
      </c>
      <c r="C61" s="8">
        <v>46089</v>
      </c>
      <c r="D61" s="8">
        <v>46103</v>
      </c>
      <c r="E61" s="3" t="s">
        <v>83</v>
      </c>
      <c r="F61" s="3" t="s">
        <v>84</v>
      </c>
      <c r="G61" s="3" t="s">
        <v>98</v>
      </c>
      <c r="H61" s="3" t="s">
        <v>99</v>
      </c>
      <c r="I61" s="3" t="s">
        <v>100</v>
      </c>
      <c r="J61" s="3" t="s">
        <v>101</v>
      </c>
      <c r="K61" s="3" t="s">
        <v>165</v>
      </c>
      <c r="L61" s="3" t="s">
        <v>166</v>
      </c>
      <c r="M61" s="3" t="s">
        <v>167</v>
      </c>
      <c r="N61" s="3">
        <v>1</v>
      </c>
      <c r="O61" s="9">
        <v>9564</v>
      </c>
      <c r="P61" s="10">
        <v>3272</v>
      </c>
      <c r="Q61" s="10">
        <v>2789</v>
      </c>
      <c r="R61" s="11">
        <f>P61-Q61</f>
        <v>483</v>
      </c>
      <c r="S61" s="12">
        <f>R61/P61</f>
        <v>0.14761613691931541</v>
      </c>
      <c r="T61" s="3">
        <v>14</v>
      </c>
      <c r="U61" s="3">
        <v>14</v>
      </c>
      <c r="V61" s="3" t="str">
        <f>IF(U61&lt;=T61+1,"On-Time","Late")</f>
        <v>On-Time</v>
      </c>
      <c r="W61" s="3" t="s">
        <v>79</v>
      </c>
      <c r="X61" s="3" t="s">
        <v>111</v>
      </c>
      <c r="Y61" s="3" t="s">
        <v>94</v>
      </c>
    </row>
    <row r="62" spans="1:25">
      <c r="A62" s="3" t="s">
        <v>206</v>
      </c>
      <c r="B62" s="8">
        <v>46162</v>
      </c>
      <c r="C62" s="8">
        <v>46172</v>
      </c>
      <c r="D62" s="8">
        <v>46174</v>
      </c>
      <c r="E62" s="3" t="s">
        <v>70</v>
      </c>
      <c r="F62" s="3" t="s">
        <v>96</v>
      </c>
      <c r="G62" s="3" t="s">
        <v>72</v>
      </c>
      <c r="H62" s="3" t="s">
        <v>73</v>
      </c>
      <c r="I62" s="3" t="s">
        <v>74</v>
      </c>
      <c r="J62" s="3" t="s">
        <v>75</v>
      </c>
      <c r="K62" s="3" t="s">
        <v>123</v>
      </c>
      <c r="L62" s="3" t="s">
        <v>124</v>
      </c>
      <c r="M62" s="3" t="s">
        <v>78</v>
      </c>
      <c r="N62" s="3">
        <v>10.9</v>
      </c>
      <c r="O62" s="9">
        <v>10900</v>
      </c>
      <c r="P62" s="10">
        <v>1599</v>
      </c>
      <c r="Q62" s="10">
        <v>1247</v>
      </c>
      <c r="R62" s="11">
        <f>P62-Q62</f>
        <v>352</v>
      </c>
      <c r="S62" s="12">
        <f>R62/P62</f>
        <v>0.22013758599124453</v>
      </c>
      <c r="T62" s="3">
        <v>2</v>
      </c>
      <c r="U62" s="3">
        <v>2</v>
      </c>
      <c r="V62" s="3" t="str">
        <f>IF(U62&lt;=T62+1,"On-Time","Late")</f>
        <v>On-Time</v>
      </c>
      <c r="W62" s="3" t="s">
        <v>183</v>
      </c>
      <c r="X62" s="3" t="s">
        <v>80</v>
      </c>
      <c r="Y62" s="3" t="s">
        <v>92</v>
      </c>
    </row>
    <row r="63" spans="1:25">
      <c r="A63" s="3" t="s">
        <v>207</v>
      </c>
      <c r="B63" s="8">
        <v>46108</v>
      </c>
      <c r="C63" s="8">
        <v>46122</v>
      </c>
      <c r="D63" s="8">
        <v>46137</v>
      </c>
      <c r="E63" s="3" t="s">
        <v>83</v>
      </c>
      <c r="F63" s="3" t="s">
        <v>96</v>
      </c>
      <c r="G63" s="3" t="s">
        <v>163</v>
      </c>
      <c r="H63" s="3" t="s">
        <v>99</v>
      </c>
      <c r="I63" s="3" t="s">
        <v>164</v>
      </c>
      <c r="J63" s="3" t="s">
        <v>101</v>
      </c>
      <c r="K63" s="3" t="s">
        <v>165</v>
      </c>
      <c r="L63" s="3" t="s">
        <v>166</v>
      </c>
      <c r="M63" s="3" t="s">
        <v>136</v>
      </c>
      <c r="N63" s="3">
        <v>1</v>
      </c>
      <c r="O63" s="9">
        <v>20848</v>
      </c>
      <c r="P63" s="10">
        <v>2634</v>
      </c>
      <c r="Q63" s="10">
        <v>2212</v>
      </c>
      <c r="R63" s="11">
        <f>P63-Q63</f>
        <v>422</v>
      </c>
      <c r="S63" s="12">
        <f>R63/P63</f>
        <v>0.16021260440394836</v>
      </c>
      <c r="T63" s="3">
        <v>15</v>
      </c>
      <c r="U63" s="3">
        <v>15</v>
      </c>
      <c r="V63" s="3" t="str">
        <f>IF(U63&lt;=T63+1,"On-Time","Late")</f>
        <v>On-Time</v>
      </c>
      <c r="W63" s="3" t="s">
        <v>79</v>
      </c>
      <c r="X63" s="3" t="s">
        <v>111</v>
      </c>
      <c r="Y63" s="3" t="s">
        <v>92</v>
      </c>
    </row>
    <row r="64" spans="1:25">
      <c r="A64" s="3" t="s">
        <v>208</v>
      </c>
      <c r="B64" s="8">
        <v>46126</v>
      </c>
      <c r="C64" s="8">
        <v>46138</v>
      </c>
      <c r="D64" s="8">
        <v>46154</v>
      </c>
      <c r="E64" s="3" t="s">
        <v>83</v>
      </c>
      <c r="F64" s="3" t="s">
        <v>84</v>
      </c>
      <c r="G64" s="3" t="s">
        <v>98</v>
      </c>
      <c r="H64" s="3" t="s">
        <v>99</v>
      </c>
      <c r="I64" s="3" t="s">
        <v>100</v>
      </c>
      <c r="J64" s="3" t="s">
        <v>101</v>
      </c>
      <c r="K64" s="3" t="s">
        <v>76</v>
      </c>
      <c r="L64" s="3" t="s">
        <v>77</v>
      </c>
      <c r="M64" s="3" t="s">
        <v>167</v>
      </c>
      <c r="N64" s="3">
        <v>2</v>
      </c>
      <c r="O64" s="9">
        <v>21322</v>
      </c>
      <c r="P64" s="10">
        <v>6228</v>
      </c>
      <c r="Q64" s="10">
        <v>5167</v>
      </c>
      <c r="R64" s="11">
        <f>P64-Q64</f>
        <v>1061</v>
      </c>
      <c r="S64" s="12">
        <f>R64/P64</f>
        <v>0.17035966602440591</v>
      </c>
      <c r="T64" s="3">
        <v>14</v>
      </c>
      <c r="U64" s="3">
        <v>16</v>
      </c>
      <c r="V64" s="3" t="str">
        <f>IF(U64&lt;=T64+1,"On-Time","Late")</f>
        <v>Late</v>
      </c>
      <c r="W64" s="3" t="s">
        <v>79</v>
      </c>
      <c r="X64" s="3" t="s">
        <v>80</v>
      </c>
      <c r="Y64" s="3" t="s">
        <v>117</v>
      </c>
    </row>
    <row r="65" spans="1:25">
      <c r="A65" s="3" t="s">
        <v>209</v>
      </c>
      <c r="B65" s="8">
        <v>46089</v>
      </c>
      <c r="C65" s="8">
        <v>46103</v>
      </c>
      <c r="D65" s="8">
        <v>46106</v>
      </c>
      <c r="E65" s="3" t="s">
        <v>103</v>
      </c>
      <c r="F65" s="3" t="s">
        <v>96</v>
      </c>
      <c r="G65" s="3" t="s">
        <v>104</v>
      </c>
      <c r="H65" s="3" t="s">
        <v>105</v>
      </c>
      <c r="I65" s="3" t="s">
        <v>106</v>
      </c>
      <c r="J65" s="3" t="s">
        <v>107</v>
      </c>
      <c r="K65" s="3" t="s">
        <v>108</v>
      </c>
      <c r="L65" s="3" t="s">
        <v>109</v>
      </c>
      <c r="M65" s="3" t="s">
        <v>110</v>
      </c>
      <c r="N65" s="3">
        <v>4.2</v>
      </c>
      <c r="O65" s="9">
        <v>4200</v>
      </c>
      <c r="P65" s="10">
        <v>17337</v>
      </c>
      <c r="Q65" s="10">
        <v>13913</v>
      </c>
      <c r="R65" s="11">
        <f>P65-Q65</f>
        <v>3424</v>
      </c>
      <c r="S65" s="12">
        <f>R65/P65</f>
        <v>0.19749668339389745</v>
      </c>
      <c r="T65" s="3">
        <v>2</v>
      </c>
      <c r="U65" s="3">
        <v>3</v>
      </c>
      <c r="V65" s="3" t="str">
        <f>IF(U65&lt;=T65+1,"On-Time","Late")</f>
        <v>On-Time</v>
      </c>
      <c r="W65" s="3" t="s">
        <v>79</v>
      </c>
      <c r="X65" s="3" t="s">
        <v>111</v>
      </c>
      <c r="Y65" s="3" t="s">
        <v>94</v>
      </c>
    </row>
    <row r="66" spans="1:25">
      <c r="A66" s="3" t="s">
        <v>210</v>
      </c>
      <c r="B66" s="8">
        <v>46078</v>
      </c>
      <c r="C66" s="8">
        <v>46085</v>
      </c>
      <c r="D66" s="8">
        <v>46105</v>
      </c>
      <c r="E66" s="3" t="s">
        <v>83</v>
      </c>
      <c r="F66" s="3" t="s">
        <v>96</v>
      </c>
      <c r="G66" s="3" t="s">
        <v>163</v>
      </c>
      <c r="H66" s="3" t="s">
        <v>99</v>
      </c>
      <c r="I66" s="3" t="s">
        <v>164</v>
      </c>
      <c r="J66" s="3" t="s">
        <v>101</v>
      </c>
      <c r="K66" s="3" t="s">
        <v>165</v>
      </c>
      <c r="L66" s="3" t="s">
        <v>166</v>
      </c>
      <c r="M66" s="3" t="s">
        <v>136</v>
      </c>
      <c r="N66" s="3">
        <v>2</v>
      </c>
      <c r="O66" s="9">
        <v>28456</v>
      </c>
      <c r="P66" s="10">
        <v>5288</v>
      </c>
      <c r="Q66" s="10">
        <v>4395</v>
      </c>
      <c r="R66" s="11">
        <f>P66-Q66</f>
        <v>893</v>
      </c>
      <c r="S66" s="12">
        <f>R66/P66</f>
        <v>0.1688729198184569</v>
      </c>
      <c r="T66" s="3">
        <v>15</v>
      </c>
      <c r="U66" s="3">
        <v>20</v>
      </c>
      <c r="V66" s="3" t="str">
        <f>IF(U66&lt;=T66+1,"On-Time","Late")</f>
        <v>Late</v>
      </c>
      <c r="W66" s="3" t="s">
        <v>79</v>
      </c>
      <c r="X66" s="3" t="s">
        <v>111</v>
      </c>
      <c r="Y66" s="3" t="s">
        <v>94</v>
      </c>
    </row>
    <row r="67" spans="1:25">
      <c r="A67" s="3" t="s">
        <v>211</v>
      </c>
      <c r="B67" s="8">
        <v>46158</v>
      </c>
      <c r="C67" s="8">
        <v>46167</v>
      </c>
      <c r="D67" s="8">
        <v>46185</v>
      </c>
      <c r="E67" s="3" t="s">
        <v>83</v>
      </c>
      <c r="F67" s="3" t="s">
        <v>96</v>
      </c>
      <c r="G67" s="3" t="s">
        <v>140</v>
      </c>
      <c r="H67" s="3" t="s">
        <v>86</v>
      </c>
      <c r="I67" s="3" t="s">
        <v>141</v>
      </c>
      <c r="J67" s="3" t="s">
        <v>88</v>
      </c>
      <c r="K67" s="3" t="s">
        <v>152</v>
      </c>
      <c r="L67" s="3" t="s">
        <v>153</v>
      </c>
      <c r="M67" s="3" t="s">
        <v>147</v>
      </c>
      <c r="N67" s="3">
        <v>6</v>
      </c>
      <c r="O67" s="9">
        <v>122928</v>
      </c>
      <c r="P67" s="10">
        <v>18948</v>
      </c>
      <c r="Q67" s="10">
        <v>16080</v>
      </c>
      <c r="R67" s="11">
        <f>P67-Q67</f>
        <v>2868</v>
      </c>
      <c r="S67" s="12">
        <f>R67/P67</f>
        <v>0.1513616212792907</v>
      </c>
      <c r="T67" s="3">
        <v>18</v>
      </c>
      <c r="U67" s="3">
        <v>18</v>
      </c>
      <c r="V67" s="3" t="str">
        <f>IF(U67&lt;=T67+1,"On-Time","Late")</f>
        <v>On-Time</v>
      </c>
      <c r="W67" s="3" t="s">
        <v>183</v>
      </c>
      <c r="X67" s="3" t="s">
        <v>111</v>
      </c>
      <c r="Y67" s="3" t="s">
        <v>94</v>
      </c>
    </row>
    <row r="68" spans="1:25">
      <c r="A68" s="3" t="s">
        <v>212</v>
      </c>
      <c r="B68" s="8">
        <v>46142</v>
      </c>
      <c r="C68" s="8">
        <v>46156</v>
      </c>
      <c r="D68" s="8">
        <v>46175</v>
      </c>
      <c r="E68" s="3" t="s">
        <v>83</v>
      </c>
      <c r="F68" s="3" t="s">
        <v>84</v>
      </c>
      <c r="G68" s="3" t="s">
        <v>85</v>
      </c>
      <c r="H68" s="3" t="s">
        <v>86</v>
      </c>
      <c r="I68" s="3" t="s">
        <v>87</v>
      </c>
      <c r="J68" s="3" t="s">
        <v>88</v>
      </c>
      <c r="K68" s="3" t="s">
        <v>89</v>
      </c>
      <c r="L68" s="3" t="s">
        <v>90</v>
      </c>
      <c r="M68" s="3" t="s">
        <v>167</v>
      </c>
      <c r="N68" s="3">
        <v>2</v>
      </c>
      <c r="O68" s="9">
        <v>25198</v>
      </c>
      <c r="P68" s="10">
        <v>6230</v>
      </c>
      <c r="Q68" s="10">
        <v>5537</v>
      </c>
      <c r="R68" s="11">
        <f>P68-Q68</f>
        <v>693</v>
      </c>
      <c r="S68" s="12">
        <f>R68/P68</f>
        <v>0.11123595505617978</v>
      </c>
      <c r="T68" s="3">
        <v>18</v>
      </c>
      <c r="U68" s="3">
        <v>19</v>
      </c>
      <c r="V68" s="3" t="str">
        <f>IF(U68&lt;=T68+1,"On-Time","Late")</f>
        <v>On-Time</v>
      </c>
      <c r="W68" s="3" t="s">
        <v>79</v>
      </c>
      <c r="X68" s="3" t="s">
        <v>80</v>
      </c>
      <c r="Y68" s="3" t="s">
        <v>92</v>
      </c>
    </row>
    <row r="69" spans="1:25">
      <c r="A69" s="3" t="s">
        <v>213</v>
      </c>
      <c r="B69" s="8">
        <v>46090</v>
      </c>
      <c r="C69" s="8">
        <v>46095</v>
      </c>
      <c r="D69" s="8">
        <v>46110</v>
      </c>
      <c r="E69" s="3" t="s">
        <v>83</v>
      </c>
      <c r="F69" s="3" t="s">
        <v>96</v>
      </c>
      <c r="G69" s="3" t="s">
        <v>98</v>
      </c>
      <c r="H69" s="3" t="s">
        <v>99</v>
      </c>
      <c r="I69" s="3" t="s">
        <v>100</v>
      </c>
      <c r="J69" s="3" t="s">
        <v>101</v>
      </c>
      <c r="K69" s="3" t="s">
        <v>165</v>
      </c>
      <c r="L69" s="3" t="s">
        <v>166</v>
      </c>
      <c r="M69" s="3" t="s">
        <v>136</v>
      </c>
      <c r="N69" s="3">
        <v>2</v>
      </c>
      <c r="O69" s="9">
        <v>26624</v>
      </c>
      <c r="P69" s="10">
        <v>5476</v>
      </c>
      <c r="Q69" s="10">
        <v>4682</v>
      </c>
      <c r="R69" s="11">
        <f>P69-Q69</f>
        <v>794</v>
      </c>
      <c r="S69" s="12">
        <f>R69/P69</f>
        <v>0.1449963476990504</v>
      </c>
      <c r="T69" s="3">
        <v>14</v>
      </c>
      <c r="U69" s="3">
        <v>15</v>
      </c>
      <c r="V69" s="3" t="str">
        <f>IF(U69&lt;=T69+1,"On-Time","Late")</f>
        <v>On-Time</v>
      </c>
      <c r="W69" s="3" t="s">
        <v>79</v>
      </c>
      <c r="X69" s="3" t="s">
        <v>111</v>
      </c>
      <c r="Y69" s="3" t="s">
        <v>92</v>
      </c>
    </row>
    <row r="70" spans="1:25">
      <c r="A70" s="3" t="s">
        <v>214</v>
      </c>
      <c r="B70" s="8">
        <v>46131</v>
      </c>
      <c r="C70" s="8">
        <v>46144</v>
      </c>
      <c r="D70" s="8">
        <v>46159</v>
      </c>
      <c r="E70" s="3" t="s">
        <v>83</v>
      </c>
      <c r="F70" s="3" t="s">
        <v>96</v>
      </c>
      <c r="G70" s="3" t="s">
        <v>98</v>
      </c>
      <c r="H70" s="3" t="s">
        <v>99</v>
      </c>
      <c r="I70" s="3" t="s">
        <v>100</v>
      </c>
      <c r="J70" s="3" t="s">
        <v>101</v>
      </c>
      <c r="K70" s="3" t="s">
        <v>76</v>
      </c>
      <c r="L70" s="3" t="s">
        <v>77</v>
      </c>
      <c r="M70" s="3" t="s">
        <v>136</v>
      </c>
      <c r="N70" s="3">
        <v>1</v>
      </c>
      <c r="O70" s="9">
        <v>10087</v>
      </c>
      <c r="P70" s="10">
        <v>2928</v>
      </c>
      <c r="Q70" s="10">
        <v>2478</v>
      </c>
      <c r="R70" s="11">
        <f>P70-Q70</f>
        <v>450</v>
      </c>
      <c r="S70" s="12">
        <f>R70/P70</f>
        <v>0.15368852459016394</v>
      </c>
      <c r="T70" s="3">
        <v>14</v>
      </c>
      <c r="U70" s="3">
        <v>15</v>
      </c>
      <c r="V70" s="3" t="str">
        <f>IF(U70&lt;=T70+1,"On-Time","Late")</f>
        <v>On-Time</v>
      </c>
      <c r="W70" s="3" t="s">
        <v>79</v>
      </c>
      <c r="X70" s="3" t="s">
        <v>80</v>
      </c>
      <c r="Y70" s="3" t="s">
        <v>92</v>
      </c>
    </row>
    <row r="71" spans="1:25">
      <c r="A71" s="3" t="s">
        <v>215</v>
      </c>
      <c r="B71" s="8">
        <v>46127</v>
      </c>
      <c r="C71" s="8">
        <v>46132</v>
      </c>
      <c r="D71" s="8">
        <v>46152</v>
      </c>
      <c r="E71" s="3" t="s">
        <v>83</v>
      </c>
      <c r="F71" s="3" t="s">
        <v>96</v>
      </c>
      <c r="G71" s="3" t="s">
        <v>126</v>
      </c>
      <c r="H71" s="3" t="s">
        <v>86</v>
      </c>
      <c r="I71" s="3" t="s">
        <v>127</v>
      </c>
      <c r="J71" s="3" t="s">
        <v>88</v>
      </c>
      <c r="K71" s="3" t="s">
        <v>160</v>
      </c>
      <c r="L71" s="3" t="s">
        <v>161</v>
      </c>
      <c r="M71" s="3" t="s">
        <v>91</v>
      </c>
      <c r="N71" s="3">
        <v>4</v>
      </c>
      <c r="O71" s="9">
        <v>49536</v>
      </c>
      <c r="P71" s="10">
        <v>12992</v>
      </c>
      <c r="Q71" s="10">
        <v>10559</v>
      </c>
      <c r="R71" s="11">
        <f>P71-Q71</f>
        <v>2433</v>
      </c>
      <c r="S71" s="12">
        <f>R71/P71</f>
        <v>0.18726908866995073</v>
      </c>
      <c r="T71" s="3">
        <v>19</v>
      </c>
      <c r="U71" s="3">
        <v>20</v>
      </c>
      <c r="V71" s="3" t="str">
        <f>IF(U71&lt;=T71+1,"On-Time","Late")</f>
        <v>On-Time</v>
      </c>
      <c r="W71" s="3" t="s">
        <v>79</v>
      </c>
      <c r="X71" s="3" t="s">
        <v>116</v>
      </c>
      <c r="Y71" s="3" t="s">
        <v>137</v>
      </c>
    </row>
    <row r="72" spans="1:25">
      <c r="A72" s="3" t="s">
        <v>216</v>
      </c>
      <c r="B72" s="8">
        <v>46060</v>
      </c>
      <c r="C72" s="8">
        <v>46067</v>
      </c>
      <c r="D72" s="8">
        <v>46087</v>
      </c>
      <c r="E72" s="3" t="s">
        <v>83</v>
      </c>
      <c r="F72" s="3" t="s">
        <v>96</v>
      </c>
      <c r="G72" s="3" t="s">
        <v>126</v>
      </c>
      <c r="H72" s="3" t="s">
        <v>86</v>
      </c>
      <c r="I72" s="3" t="s">
        <v>127</v>
      </c>
      <c r="J72" s="3" t="s">
        <v>88</v>
      </c>
      <c r="K72" s="3" t="s">
        <v>128</v>
      </c>
      <c r="L72" s="3" t="s">
        <v>129</v>
      </c>
      <c r="M72" s="3" t="s">
        <v>147</v>
      </c>
      <c r="N72" s="3">
        <v>6</v>
      </c>
      <c r="O72" s="9">
        <v>88686</v>
      </c>
      <c r="P72" s="10">
        <v>14268</v>
      </c>
      <c r="Q72" s="10">
        <v>11681</v>
      </c>
      <c r="R72" s="11">
        <f>P72-Q72</f>
        <v>2587</v>
      </c>
      <c r="S72" s="12">
        <f>R72/P72</f>
        <v>0.18131483038968321</v>
      </c>
      <c r="T72" s="3">
        <v>19</v>
      </c>
      <c r="U72" s="3">
        <v>20</v>
      </c>
      <c r="V72" s="3" t="str">
        <f>IF(U72&lt;=T72+1,"On-Time","Late")</f>
        <v>On-Time</v>
      </c>
      <c r="W72" s="3" t="s">
        <v>79</v>
      </c>
      <c r="X72" s="3" t="s">
        <v>116</v>
      </c>
      <c r="Y72" s="3" t="s">
        <v>92</v>
      </c>
    </row>
    <row r="73" spans="1:25">
      <c r="A73" s="3" t="s">
        <v>217</v>
      </c>
      <c r="B73" s="8">
        <v>46054</v>
      </c>
      <c r="C73" s="8">
        <v>46061</v>
      </c>
      <c r="D73" s="8">
        <v>46075</v>
      </c>
      <c r="E73" s="3" t="s">
        <v>83</v>
      </c>
      <c r="F73" s="3" t="s">
        <v>96</v>
      </c>
      <c r="G73" s="3" t="s">
        <v>98</v>
      </c>
      <c r="H73" s="3" t="s">
        <v>99</v>
      </c>
      <c r="I73" s="3" t="s">
        <v>100</v>
      </c>
      <c r="J73" s="3" t="s">
        <v>101</v>
      </c>
      <c r="K73" s="3" t="s">
        <v>76</v>
      </c>
      <c r="L73" s="3" t="s">
        <v>77</v>
      </c>
      <c r="M73" s="3" t="s">
        <v>147</v>
      </c>
      <c r="N73" s="3">
        <v>4</v>
      </c>
      <c r="O73" s="9">
        <v>43136</v>
      </c>
      <c r="P73" s="10">
        <v>13056</v>
      </c>
      <c r="Q73" s="10">
        <v>11114</v>
      </c>
      <c r="R73" s="11">
        <f>P73-Q73</f>
        <v>1942</v>
      </c>
      <c r="S73" s="12">
        <f>R73/P73</f>
        <v>0.14874387254901961</v>
      </c>
      <c r="T73" s="3">
        <v>14</v>
      </c>
      <c r="U73" s="3">
        <v>14</v>
      </c>
      <c r="V73" s="3" t="str">
        <f>IF(U73&lt;=T73+1,"On-Time","Late")</f>
        <v>On-Time</v>
      </c>
      <c r="W73" s="3" t="s">
        <v>79</v>
      </c>
      <c r="X73" s="3" t="s">
        <v>80</v>
      </c>
      <c r="Y73" s="3" t="s">
        <v>117</v>
      </c>
    </row>
    <row r="74" spans="1:25">
      <c r="A74" s="3" t="s">
        <v>218</v>
      </c>
      <c r="B74" s="8">
        <v>46036</v>
      </c>
      <c r="C74" s="8">
        <v>46044</v>
      </c>
      <c r="D74" s="8">
        <v>46047</v>
      </c>
      <c r="E74" s="3" t="s">
        <v>70</v>
      </c>
      <c r="F74" s="3" t="s">
        <v>96</v>
      </c>
      <c r="G74" s="3" t="s">
        <v>72</v>
      </c>
      <c r="H74" s="3" t="s">
        <v>73</v>
      </c>
      <c r="I74" s="3" t="s">
        <v>74</v>
      </c>
      <c r="J74" s="3" t="s">
        <v>75</v>
      </c>
      <c r="K74" s="3" t="s">
        <v>123</v>
      </c>
      <c r="L74" s="3" t="s">
        <v>124</v>
      </c>
      <c r="M74" s="3" t="s">
        <v>219</v>
      </c>
      <c r="N74" s="3">
        <v>7.9</v>
      </c>
      <c r="O74" s="9">
        <v>7900</v>
      </c>
      <c r="P74" s="10">
        <v>1287</v>
      </c>
      <c r="Q74" s="10">
        <v>955</v>
      </c>
      <c r="R74" s="11">
        <f>P74-Q74</f>
        <v>332</v>
      </c>
      <c r="S74" s="12">
        <f>R74/P74</f>
        <v>0.25796425796425798</v>
      </c>
      <c r="T74" s="3">
        <v>2</v>
      </c>
      <c r="U74" s="3">
        <v>3</v>
      </c>
      <c r="V74" s="3" t="str">
        <f>IF(U74&lt;=T74+1,"On-Time","Late")</f>
        <v>On-Time</v>
      </c>
      <c r="W74" s="3" t="s">
        <v>79</v>
      </c>
      <c r="X74" s="3" t="s">
        <v>80</v>
      </c>
      <c r="Y74" s="3" t="s">
        <v>117</v>
      </c>
    </row>
    <row r="75" spans="1:25">
      <c r="A75" s="3" t="s">
        <v>220</v>
      </c>
      <c r="B75" s="8">
        <v>46069</v>
      </c>
      <c r="C75" s="8">
        <v>46075</v>
      </c>
      <c r="D75" s="8">
        <v>46078</v>
      </c>
      <c r="E75" s="3" t="s">
        <v>103</v>
      </c>
      <c r="F75" s="3" t="s">
        <v>96</v>
      </c>
      <c r="G75" s="3" t="s">
        <v>150</v>
      </c>
      <c r="H75" s="3" t="s">
        <v>119</v>
      </c>
      <c r="I75" s="3" t="s">
        <v>151</v>
      </c>
      <c r="J75" s="3" t="s">
        <v>121</v>
      </c>
      <c r="K75" s="3" t="s">
        <v>160</v>
      </c>
      <c r="L75" s="3" t="s">
        <v>161</v>
      </c>
      <c r="M75" s="3" t="s">
        <v>110</v>
      </c>
      <c r="N75" s="3">
        <v>4.9000000000000004</v>
      </c>
      <c r="O75" s="9">
        <v>4900</v>
      </c>
      <c r="P75" s="10">
        <v>18933</v>
      </c>
      <c r="Q75" s="10">
        <v>14746</v>
      </c>
      <c r="R75" s="11">
        <f>P75-Q75</f>
        <v>4187</v>
      </c>
      <c r="S75" s="12">
        <f>R75/P75</f>
        <v>0.22114825965245866</v>
      </c>
      <c r="T75" s="3">
        <v>3</v>
      </c>
      <c r="U75" s="3">
        <v>3</v>
      </c>
      <c r="V75" s="3" t="str">
        <f>IF(U75&lt;=T75+1,"On-Time","Late")</f>
        <v>On-Time</v>
      </c>
      <c r="W75" s="3" t="s">
        <v>79</v>
      </c>
      <c r="X75" s="3" t="s">
        <v>116</v>
      </c>
      <c r="Y75" s="3" t="s">
        <v>137</v>
      </c>
    </row>
    <row r="76" spans="1:25">
      <c r="A76" s="3" t="s">
        <v>221</v>
      </c>
      <c r="B76" s="8">
        <v>46147</v>
      </c>
      <c r="C76" s="8">
        <v>46152</v>
      </c>
      <c r="D76" s="8">
        <v>46155</v>
      </c>
      <c r="E76" s="3" t="s">
        <v>103</v>
      </c>
      <c r="F76" s="3" t="s">
        <v>149</v>
      </c>
      <c r="G76" s="3" t="s">
        <v>132</v>
      </c>
      <c r="H76" s="3" t="s">
        <v>105</v>
      </c>
      <c r="I76" s="3" t="s">
        <v>133</v>
      </c>
      <c r="J76" s="3" t="s">
        <v>107</v>
      </c>
      <c r="K76" s="3" t="s">
        <v>113</v>
      </c>
      <c r="L76" s="3" t="s">
        <v>114</v>
      </c>
      <c r="M76" s="3" t="s">
        <v>143</v>
      </c>
      <c r="N76" s="3">
        <v>1</v>
      </c>
      <c r="O76" s="9">
        <v>1000</v>
      </c>
      <c r="P76" s="10">
        <v>3962</v>
      </c>
      <c r="Q76" s="10">
        <v>3173</v>
      </c>
      <c r="R76" s="11">
        <f>P76-Q76</f>
        <v>789</v>
      </c>
      <c r="S76" s="12">
        <f>R76/P76</f>
        <v>0.19914184755174155</v>
      </c>
      <c r="T76" s="3">
        <v>2</v>
      </c>
      <c r="U76" s="3">
        <v>3</v>
      </c>
      <c r="V76" s="3" t="str">
        <f>IF(U76&lt;=T76+1,"On-Time","Late")</f>
        <v>On-Time</v>
      </c>
      <c r="W76" s="3" t="s">
        <v>79</v>
      </c>
      <c r="X76" s="3" t="s">
        <v>116</v>
      </c>
      <c r="Y76" s="3" t="s">
        <v>92</v>
      </c>
    </row>
    <row r="77" spans="1:25">
      <c r="A77" s="3" t="s">
        <v>222</v>
      </c>
      <c r="B77" s="8">
        <v>46109</v>
      </c>
      <c r="C77" s="8">
        <v>46118</v>
      </c>
      <c r="D77" s="8">
        <v>46138</v>
      </c>
      <c r="E77" s="3" t="s">
        <v>83</v>
      </c>
      <c r="F77" s="3" t="s">
        <v>84</v>
      </c>
      <c r="G77" s="3" t="s">
        <v>126</v>
      </c>
      <c r="H77" s="3" t="s">
        <v>86</v>
      </c>
      <c r="I77" s="3" t="s">
        <v>127</v>
      </c>
      <c r="J77" s="3" t="s">
        <v>88</v>
      </c>
      <c r="K77" s="3" t="s">
        <v>156</v>
      </c>
      <c r="L77" s="3" t="s">
        <v>157</v>
      </c>
      <c r="M77" s="3" t="s">
        <v>167</v>
      </c>
      <c r="N77" s="3">
        <v>2</v>
      </c>
      <c r="O77" s="9">
        <v>19210</v>
      </c>
      <c r="P77" s="10">
        <v>4630</v>
      </c>
      <c r="Q77" s="10">
        <v>3708</v>
      </c>
      <c r="R77" s="11">
        <f>P77-Q77</f>
        <v>922</v>
      </c>
      <c r="S77" s="12">
        <f>R77/P77</f>
        <v>0.19913606911447085</v>
      </c>
      <c r="T77" s="3">
        <v>19</v>
      </c>
      <c r="U77" s="3">
        <v>20</v>
      </c>
      <c r="V77" s="3" t="str">
        <f>IF(U77&lt;=T77+1,"On-Time","Late")</f>
        <v>On-Time</v>
      </c>
      <c r="W77" s="3" t="s">
        <v>79</v>
      </c>
      <c r="X77" s="3" t="s">
        <v>111</v>
      </c>
      <c r="Y77" s="3" t="s">
        <v>137</v>
      </c>
    </row>
    <row r="78" spans="1:25">
      <c r="A78" s="3" t="s">
        <v>223</v>
      </c>
      <c r="B78" s="8">
        <v>46075</v>
      </c>
      <c r="C78" s="8">
        <v>46085</v>
      </c>
      <c r="D78" s="8">
        <v>46103</v>
      </c>
      <c r="E78" s="3" t="s">
        <v>83</v>
      </c>
      <c r="F78" s="3" t="s">
        <v>84</v>
      </c>
      <c r="G78" s="3" t="s">
        <v>140</v>
      </c>
      <c r="H78" s="3" t="s">
        <v>86</v>
      </c>
      <c r="I78" s="3" t="s">
        <v>141</v>
      </c>
      <c r="J78" s="3" t="s">
        <v>88</v>
      </c>
      <c r="K78" s="3" t="s">
        <v>152</v>
      </c>
      <c r="L78" s="3" t="s">
        <v>153</v>
      </c>
      <c r="M78" s="3" t="s">
        <v>167</v>
      </c>
      <c r="N78" s="3">
        <v>2</v>
      </c>
      <c r="O78" s="9">
        <v>38618</v>
      </c>
      <c r="P78" s="10">
        <v>6164</v>
      </c>
      <c r="Q78" s="10">
        <v>4973</v>
      </c>
      <c r="R78" s="11">
        <f>P78-Q78</f>
        <v>1191</v>
      </c>
      <c r="S78" s="12">
        <f>R78/P78</f>
        <v>0.19321868916288124</v>
      </c>
      <c r="T78" s="3">
        <v>18</v>
      </c>
      <c r="U78" s="3">
        <v>18</v>
      </c>
      <c r="V78" s="3" t="str">
        <f>IF(U78&lt;=T78+1,"On-Time","Late")</f>
        <v>On-Time</v>
      </c>
      <c r="W78" s="3" t="s">
        <v>79</v>
      </c>
      <c r="X78" s="3" t="s">
        <v>111</v>
      </c>
      <c r="Y78" s="3" t="s">
        <v>81</v>
      </c>
    </row>
    <row r="79" spans="1:25">
      <c r="A79" s="3" t="s">
        <v>224</v>
      </c>
      <c r="B79" s="8">
        <v>46104</v>
      </c>
      <c r="C79" s="8">
        <v>46117</v>
      </c>
      <c r="D79" s="8">
        <v>46132</v>
      </c>
      <c r="E79" s="3" t="s">
        <v>83</v>
      </c>
      <c r="F79" s="3" t="s">
        <v>84</v>
      </c>
      <c r="G79" s="3" t="s">
        <v>163</v>
      </c>
      <c r="H79" s="3" t="s">
        <v>99</v>
      </c>
      <c r="I79" s="3" t="s">
        <v>164</v>
      </c>
      <c r="J79" s="3" t="s">
        <v>101</v>
      </c>
      <c r="K79" s="3" t="s">
        <v>165</v>
      </c>
      <c r="L79" s="3" t="s">
        <v>166</v>
      </c>
      <c r="M79" s="3" t="s">
        <v>130</v>
      </c>
      <c r="N79" s="3">
        <v>3</v>
      </c>
      <c r="O79" s="9">
        <v>43056</v>
      </c>
      <c r="P79" s="10">
        <v>8502</v>
      </c>
      <c r="Q79" s="10">
        <v>6952</v>
      </c>
      <c r="R79" s="11">
        <f>P79-Q79</f>
        <v>1550</v>
      </c>
      <c r="S79" s="12">
        <f>R79/P79</f>
        <v>0.1823100446953658</v>
      </c>
      <c r="T79" s="3">
        <v>15</v>
      </c>
      <c r="U79" s="3">
        <v>15</v>
      </c>
      <c r="V79" s="3" t="str">
        <f>IF(U79&lt;=T79+1,"On-Time","Late")</f>
        <v>On-Time</v>
      </c>
      <c r="W79" s="3" t="s">
        <v>79</v>
      </c>
      <c r="X79" s="3" t="s">
        <v>111</v>
      </c>
      <c r="Y79" s="3" t="s">
        <v>117</v>
      </c>
    </row>
    <row r="80" spans="1:25">
      <c r="A80" s="3" t="s">
        <v>225</v>
      </c>
      <c r="B80" s="8">
        <v>46053</v>
      </c>
      <c r="C80" s="8">
        <v>46065</v>
      </c>
      <c r="D80" s="8">
        <v>46084</v>
      </c>
      <c r="E80" s="3" t="s">
        <v>83</v>
      </c>
      <c r="F80" s="3" t="s">
        <v>96</v>
      </c>
      <c r="G80" s="3" t="s">
        <v>85</v>
      </c>
      <c r="H80" s="3" t="s">
        <v>86</v>
      </c>
      <c r="I80" s="3" t="s">
        <v>87</v>
      </c>
      <c r="J80" s="3" t="s">
        <v>88</v>
      </c>
      <c r="K80" s="3" t="s">
        <v>128</v>
      </c>
      <c r="L80" s="3" t="s">
        <v>129</v>
      </c>
      <c r="M80" s="3" t="s">
        <v>136</v>
      </c>
      <c r="N80" s="3">
        <v>2</v>
      </c>
      <c r="O80" s="9">
        <v>29928</v>
      </c>
      <c r="P80" s="10">
        <v>4966</v>
      </c>
      <c r="Q80" s="10">
        <v>4182</v>
      </c>
      <c r="R80" s="11">
        <f>P80-Q80</f>
        <v>784</v>
      </c>
      <c r="S80" s="12">
        <f>R80/P80</f>
        <v>0.15787354007249296</v>
      </c>
      <c r="T80" s="3">
        <v>18</v>
      </c>
      <c r="U80" s="3">
        <v>19</v>
      </c>
      <c r="V80" s="3" t="str">
        <f>IF(U80&lt;=T80+1,"On-Time","Late")</f>
        <v>On-Time</v>
      </c>
      <c r="W80" s="3" t="s">
        <v>79</v>
      </c>
      <c r="X80" s="3" t="s">
        <v>116</v>
      </c>
      <c r="Y80" s="3" t="s">
        <v>117</v>
      </c>
    </row>
    <row r="81" spans="1:25">
      <c r="A81" s="3" t="s">
        <v>226</v>
      </c>
      <c r="B81" s="8">
        <v>46029</v>
      </c>
      <c r="C81" s="8">
        <v>46039</v>
      </c>
      <c r="D81" s="8">
        <v>46054</v>
      </c>
      <c r="E81" s="3" t="s">
        <v>83</v>
      </c>
      <c r="F81" s="3" t="s">
        <v>84</v>
      </c>
      <c r="G81" s="3" t="s">
        <v>163</v>
      </c>
      <c r="H81" s="3" t="s">
        <v>99</v>
      </c>
      <c r="I81" s="3" t="s">
        <v>164</v>
      </c>
      <c r="J81" s="3" t="s">
        <v>101</v>
      </c>
      <c r="K81" s="3" t="s">
        <v>76</v>
      </c>
      <c r="L81" s="3" t="s">
        <v>77</v>
      </c>
      <c r="M81" s="3" t="s">
        <v>130</v>
      </c>
      <c r="N81" s="3">
        <v>6</v>
      </c>
      <c r="O81" s="9">
        <v>96048</v>
      </c>
      <c r="P81" s="10">
        <v>19230</v>
      </c>
      <c r="Q81" s="10">
        <v>15604</v>
      </c>
      <c r="R81" s="11">
        <f>P81-Q81</f>
        <v>3626</v>
      </c>
      <c r="S81" s="12">
        <f>R81/P81</f>
        <v>0.18855954238169526</v>
      </c>
      <c r="T81" s="3">
        <v>15</v>
      </c>
      <c r="U81" s="3">
        <v>15</v>
      </c>
      <c r="V81" s="3" t="str">
        <f>IF(U81&lt;=T81+1,"On-Time","Late")</f>
        <v>On-Time</v>
      </c>
      <c r="W81" s="3" t="s">
        <v>79</v>
      </c>
      <c r="X81" s="3" t="s">
        <v>80</v>
      </c>
      <c r="Y81" s="3" t="s">
        <v>117</v>
      </c>
    </row>
    <row r="82" spans="1:25">
      <c r="A82" s="3" t="s">
        <v>227</v>
      </c>
      <c r="B82" s="8">
        <v>46078</v>
      </c>
      <c r="C82" s="8">
        <v>46088</v>
      </c>
      <c r="D82" s="8">
        <v>46090</v>
      </c>
      <c r="E82" s="3" t="s">
        <v>70</v>
      </c>
      <c r="F82" s="3" t="s">
        <v>96</v>
      </c>
      <c r="G82" s="3" t="s">
        <v>72</v>
      </c>
      <c r="H82" s="3" t="s">
        <v>73</v>
      </c>
      <c r="I82" s="3" t="s">
        <v>74</v>
      </c>
      <c r="J82" s="3" t="s">
        <v>75</v>
      </c>
      <c r="K82" s="3" t="s">
        <v>123</v>
      </c>
      <c r="L82" s="3" t="s">
        <v>124</v>
      </c>
      <c r="M82" s="3" t="s">
        <v>219</v>
      </c>
      <c r="N82" s="3">
        <v>12.1</v>
      </c>
      <c r="O82" s="9">
        <v>12100</v>
      </c>
      <c r="P82" s="10">
        <v>2651</v>
      </c>
      <c r="Q82" s="10">
        <v>2072</v>
      </c>
      <c r="R82" s="11">
        <f>P82-Q82</f>
        <v>579</v>
      </c>
      <c r="S82" s="12">
        <f>R82/P82</f>
        <v>0.21840814786872878</v>
      </c>
      <c r="T82" s="3">
        <v>2</v>
      </c>
      <c r="U82" s="3">
        <v>2</v>
      </c>
      <c r="V82" s="3" t="str">
        <f>IF(U82&lt;=T82+1,"On-Time","Late")</f>
        <v>On-Time</v>
      </c>
      <c r="W82" s="3" t="s">
        <v>79</v>
      </c>
      <c r="X82" s="3" t="s">
        <v>80</v>
      </c>
      <c r="Y82" s="3" t="s">
        <v>94</v>
      </c>
    </row>
    <row r="83" spans="1:25">
      <c r="A83" s="3" t="s">
        <v>228</v>
      </c>
      <c r="B83" s="8">
        <v>46079</v>
      </c>
      <c r="C83" s="8">
        <v>46088</v>
      </c>
      <c r="D83" s="8">
        <v>46106</v>
      </c>
      <c r="E83" s="3" t="s">
        <v>83</v>
      </c>
      <c r="F83" s="3" t="s">
        <v>96</v>
      </c>
      <c r="G83" s="3" t="s">
        <v>85</v>
      </c>
      <c r="H83" s="3" t="s">
        <v>86</v>
      </c>
      <c r="I83" s="3" t="s">
        <v>87</v>
      </c>
      <c r="J83" s="3" t="s">
        <v>88</v>
      </c>
      <c r="K83" s="3" t="s">
        <v>156</v>
      </c>
      <c r="L83" s="3" t="s">
        <v>157</v>
      </c>
      <c r="M83" s="3" t="s">
        <v>167</v>
      </c>
      <c r="N83" s="3">
        <v>3</v>
      </c>
      <c r="O83" s="9">
        <v>49224</v>
      </c>
      <c r="P83" s="10">
        <v>8625</v>
      </c>
      <c r="Q83" s="10">
        <v>7336</v>
      </c>
      <c r="R83" s="11">
        <f>P83-Q83</f>
        <v>1289</v>
      </c>
      <c r="S83" s="12">
        <f>R83/P83</f>
        <v>0.14944927536231883</v>
      </c>
      <c r="T83" s="3">
        <v>18</v>
      </c>
      <c r="U83" s="3">
        <v>18</v>
      </c>
      <c r="V83" s="3" t="str">
        <f>IF(U83&lt;=T83+1,"On-Time","Late")</f>
        <v>On-Time</v>
      </c>
      <c r="W83" s="3" t="s">
        <v>79</v>
      </c>
      <c r="X83" s="3" t="s">
        <v>111</v>
      </c>
      <c r="Y83" s="3" t="s">
        <v>94</v>
      </c>
    </row>
    <row r="84" spans="1:25">
      <c r="A84" s="3" t="s">
        <v>229</v>
      </c>
      <c r="B84" s="8">
        <v>46146</v>
      </c>
      <c r="C84" s="8">
        <v>46154</v>
      </c>
      <c r="D84" s="8">
        <v>46157</v>
      </c>
      <c r="E84" s="3" t="s">
        <v>103</v>
      </c>
      <c r="F84" s="3" t="s">
        <v>96</v>
      </c>
      <c r="G84" s="3" t="s">
        <v>150</v>
      </c>
      <c r="H84" s="3" t="s">
        <v>119</v>
      </c>
      <c r="I84" s="3" t="s">
        <v>151</v>
      </c>
      <c r="J84" s="3" t="s">
        <v>121</v>
      </c>
      <c r="K84" s="3" t="s">
        <v>160</v>
      </c>
      <c r="L84" s="3" t="s">
        <v>161</v>
      </c>
      <c r="M84" s="3" t="s">
        <v>110</v>
      </c>
      <c r="N84" s="3">
        <v>0.8</v>
      </c>
      <c r="O84" s="9">
        <v>800</v>
      </c>
      <c r="P84" s="10">
        <v>3299</v>
      </c>
      <c r="Q84" s="10">
        <v>2631</v>
      </c>
      <c r="R84" s="11">
        <f>P84-Q84</f>
        <v>668</v>
      </c>
      <c r="S84" s="12">
        <f>R84/P84</f>
        <v>0.20248560169748409</v>
      </c>
      <c r="T84" s="3">
        <v>3</v>
      </c>
      <c r="U84" s="3">
        <v>3</v>
      </c>
      <c r="V84" s="3" t="str">
        <f>IF(U84&lt;=T84+1,"On-Time","Late")</f>
        <v>On-Time</v>
      </c>
      <c r="W84" s="3" t="s">
        <v>79</v>
      </c>
      <c r="X84" s="3" t="s">
        <v>116</v>
      </c>
      <c r="Y84" s="3" t="s">
        <v>81</v>
      </c>
    </row>
    <row r="85" spans="1:25">
      <c r="A85" s="3" t="s">
        <v>230</v>
      </c>
      <c r="B85" s="8">
        <v>46074</v>
      </c>
      <c r="C85" s="8">
        <v>46080</v>
      </c>
      <c r="D85" s="8">
        <v>46084</v>
      </c>
      <c r="E85" s="3" t="s">
        <v>103</v>
      </c>
      <c r="F85" s="3" t="s">
        <v>71</v>
      </c>
      <c r="G85" s="3" t="s">
        <v>150</v>
      </c>
      <c r="H85" s="3" t="s">
        <v>119</v>
      </c>
      <c r="I85" s="3" t="s">
        <v>151</v>
      </c>
      <c r="J85" s="3" t="s">
        <v>121</v>
      </c>
      <c r="K85" s="3" t="s">
        <v>152</v>
      </c>
      <c r="L85" s="3" t="s">
        <v>153</v>
      </c>
      <c r="M85" s="3" t="s">
        <v>110</v>
      </c>
      <c r="N85" s="3">
        <v>3.8</v>
      </c>
      <c r="O85" s="9">
        <v>3800</v>
      </c>
      <c r="P85" s="10">
        <v>19304</v>
      </c>
      <c r="Q85" s="10">
        <v>15160</v>
      </c>
      <c r="R85" s="11">
        <f>P85-Q85</f>
        <v>4144</v>
      </c>
      <c r="S85" s="12">
        <f>R85/P85</f>
        <v>0.21467053460422711</v>
      </c>
      <c r="T85" s="3">
        <v>3</v>
      </c>
      <c r="U85" s="3">
        <v>4</v>
      </c>
      <c r="V85" s="3" t="str">
        <f>IF(U85&lt;=T85+1,"On-Time","Late")</f>
        <v>On-Time</v>
      </c>
      <c r="W85" s="3" t="s">
        <v>79</v>
      </c>
      <c r="X85" s="3" t="s">
        <v>111</v>
      </c>
      <c r="Y85" s="3" t="s">
        <v>137</v>
      </c>
    </row>
    <row r="86" spans="1:25">
      <c r="A86" s="3" t="s">
        <v>231</v>
      </c>
      <c r="B86" s="8">
        <v>46066</v>
      </c>
      <c r="C86" s="8">
        <v>46071</v>
      </c>
      <c r="D86" s="8">
        <v>46075</v>
      </c>
      <c r="E86" s="3" t="s">
        <v>103</v>
      </c>
      <c r="F86" s="3" t="s">
        <v>71</v>
      </c>
      <c r="G86" s="3" t="s">
        <v>85</v>
      </c>
      <c r="H86" s="3" t="s">
        <v>119</v>
      </c>
      <c r="I86" s="3" t="s">
        <v>120</v>
      </c>
      <c r="J86" s="3" t="s">
        <v>121</v>
      </c>
      <c r="K86" s="3" t="s">
        <v>108</v>
      </c>
      <c r="L86" s="3" t="s">
        <v>109</v>
      </c>
      <c r="M86" s="3" t="s">
        <v>110</v>
      </c>
      <c r="N86" s="3">
        <v>1.6</v>
      </c>
      <c r="O86" s="9">
        <v>1600</v>
      </c>
      <c r="P86" s="10">
        <v>6830</v>
      </c>
      <c r="Q86" s="10">
        <v>5427</v>
      </c>
      <c r="R86" s="11">
        <f>P86-Q86</f>
        <v>1403</v>
      </c>
      <c r="S86" s="12">
        <f>R86/P86</f>
        <v>0.2054172767203514</v>
      </c>
      <c r="T86" s="3">
        <v>3</v>
      </c>
      <c r="U86" s="3">
        <v>4</v>
      </c>
      <c r="V86" s="3" t="str">
        <f>IF(U86&lt;=T86+1,"On-Time","Late")</f>
        <v>On-Time</v>
      </c>
      <c r="W86" s="3" t="s">
        <v>79</v>
      </c>
      <c r="X86" s="3" t="s">
        <v>111</v>
      </c>
      <c r="Y86" s="3" t="s">
        <v>137</v>
      </c>
    </row>
    <row r="87" spans="1:25">
      <c r="A87" s="3" t="s">
        <v>232</v>
      </c>
      <c r="B87" s="8">
        <v>46055</v>
      </c>
      <c r="C87" s="8">
        <v>46064</v>
      </c>
      <c r="D87" s="8">
        <v>46084</v>
      </c>
      <c r="E87" s="3" t="s">
        <v>83</v>
      </c>
      <c r="F87" s="3" t="s">
        <v>84</v>
      </c>
      <c r="G87" s="3" t="s">
        <v>126</v>
      </c>
      <c r="H87" s="3" t="s">
        <v>86</v>
      </c>
      <c r="I87" s="3" t="s">
        <v>127</v>
      </c>
      <c r="J87" s="3" t="s">
        <v>88</v>
      </c>
      <c r="K87" s="3" t="s">
        <v>156</v>
      </c>
      <c r="L87" s="3" t="s">
        <v>157</v>
      </c>
      <c r="M87" s="3" t="s">
        <v>136</v>
      </c>
      <c r="N87" s="3">
        <v>1</v>
      </c>
      <c r="O87" s="9">
        <v>14796</v>
      </c>
      <c r="P87" s="10">
        <v>3219</v>
      </c>
      <c r="Q87" s="10">
        <v>2648</v>
      </c>
      <c r="R87" s="11">
        <f>P87-Q87</f>
        <v>571</v>
      </c>
      <c r="S87" s="12">
        <f>R87/P87</f>
        <v>0.1773842808325567</v>
      </c>
      <c r="T87" s="3">
        <v>19</v>
      </c>
      <c r="U87" s="3">
        <v>20</v>
      </c>
      <c r="V87" s="3" t="str">
        <f>IF(U87&lt;=T87+1,"On-Time","Late")</f>
        <v>On-Time</v>
      </c>
      <c r="W87" s="3" t="s">
        <v>79</v>
      </c>
      <c r="X87" s="3" t="s">
        <v>111</v>
      </c>
      <c r="Y87" s="3" t="s">
        <v>92</v>
      </c>
    </row>
    <row r="88" spans="1:25">
      <c r="A88" s="3" t="s">
        <v>233</v>
      </c>
      <c r="B88" s="8">
        <v>46110</v>
      </c>
      <c r="C88" s="8">
        <v>46119</v>
      </c>
      <c r="D88" s="8">
        <v>46134</v>
      </c>
      <c r="E88" s="3" t="s">
        <v>83</v>
      </c>
      <c r="F88" s="3" t="s">
        <v>96</v>
      </c>
      <c r="G88" s="3" t="s">
        <v>163</v>
      </c>
      <c r="H88" s="3" t="s">
        <v>99</v>
      </c>
      <c r="I88" s="3" t="s">
        <v>164</v>
      </c>
      <c r="J88" s="3" t="s">
        <v>101</v>
      </c>
      <c r="K88" s="3" t="s">
        <v>165</v>
      </c>
      <c r="L88" s="3" t="s">
        <v>166</v>
      </c>
      <c r="M88" s="3" t="s">
        <v>136</v>
      </c>
      <c r="N88" s="3">
        <v>4</v>
      </c>
      <c r="O88" s="9">
        <v>42660</v>
      </c>
      <c r="P88" s="10">
        <v>10000</v>
      </c>
      <c r="Q88" s="10">
        <v>8292</v>
      </c>
      <c r="R88" s="11">
        <f>P88-Q88</f>
        <v>1708</v>
      </c>
      <c r="S88" s="12">
        <f>R88/P88</f>
        <v>0.17080000000000001</v>
      </c>
      <c r="T88" s="3">
        <v>15</v>
      </c>
      <c r="U88" s="3">
        <v>15</v>
      </c>
      <c r="V88" s="3" t="str">
        <f>IF(U88&lt;=T88+1,"On-Time","Late")</f>
        <v>On-Time</v>
      </c>
      <c r="W88" s="3" t="s">
        <v>79</v>
      </c>
      <c r="X88" s="3" t="s">
        <v>111</v>
      </c>
      <c r="Y88" s="3" t="s">
        <v>94</v>
      </c>
    </row>
    <row r="89" spans="1:25">
      <c r="A89" s="3" t="s">
        <v>234</v>
      </c>
      <c r="B89" s="8">
        <v>46164</v>
      </c>
      <c r="C89" s="8">
        <v>46175</v>
      </c>
      <c r="D89" s="8">
        <v>46194</v>
      </c>
      <c r="E89" s="3" t="s">
        <v>83</v>
      </c>
      <c r="F89" s="3" t="s">
        <v>84</v>
      </c>
      <c r="G89" s="3" t="s">
        <v>126</v>
      </c>
      <c r="H89" s="3" t="s">
        <v>86</v>
      </c>
      <c r="I89" s="3" t="s">
        <v>127</v>
      </c>
      <c r="J89" s="3" t="s">
        <v>88</v>
      </c>
      <c r="K89" s="3" t="s">
        <v>160</v>
      </c>
      <c r="L89" s="3" t="s">
        <v>161</v>
      </c>
      <c r="M89" s="3" t="s">
        <v>167</v>
      </c>
      <c r="N89" s="3">
        <v>6</v>
      </c>
      <c r="O89" s="9">
        <v>125412</v>
      </c>
      <c r="P89" s="10">
        <v>15600</v>
      </c>
      <c r="Q89" s="10">
        <v>12592</v>
      </c>
      <c r="R89" s="11">
        <f>P89-Q89</f>
        <v>3008</v>
      </c>
      <c r="S89" s="12">
        <f>R89/P89</f>
        <v>0.19282051282051282</v>
      </c>
      <c r="T89" s="3">
        <v>19</v>
      </c>
      <c r="U89" s="3">
        <v>19</v>
      </c>
      <c r="V89" s="3" t="str">
        <f>IF(U89&lt;=T89+1,"On-Time","Late")</f>
        <v>On-Time</v>
      </c>
      <c r="W89" s="3" t="s">
        <v>183</v>
      </c>
      <c r="X89" s="3" t="s">
        <v>116</v>
      </c>
      <c r="Y89" s="3" t="s">
        <v>94</v>
      </c>
    </row>
    <row r="90" spans="1:25">
      <c r="A90" s="3" t="s">
        <v>235</v>
      </c>
      <c r="B90" s="8">
        <v>46118</v>
      </c>
      <c r="C90" s="8">
        <v>46130</v>
      </c>
      <c r="D90" s="8">
        <v>46132</v>
      </c>
      <c r="E90" s="3" t="s">
        <v>70</v>
      </c>
      <c r="F90" s="3" t="s">
        <v>71</v>
      </c>
      <c r="G90" s="3" t="s">
        <v>72</v>
      </c>
      <c r="H90" s="3" t="s">
        <v>73</v>
      </c>
      <c r="I90" s="3" t="s">
        <v>74</v>
      </c>
      <c r="J90" s="3" t="s">
        <v>75</v>
      </c>
      <c r="K90" s="3" t="s">
        <v>123</v>
      </c>
      <c r="L90" s="3" t="s">
        <v>124</v>
      </c>
      <c r="M90" s="3" t="s">
        <v>219</v>
      </c>
      <c r="N90" s="3">
        <v>10.8</v>
      </c>
      <c r="O90" s="9">
        <v>10800</v>
      </c>
      <c r="P90" s="10">
        <v>2762</v>
      </c>
      <c r="Q90" s="10">
        <v>2125</v>
      </c>
      <c r="R90" s="11">
        <f>P90-Q90</f>
        <v>637</v>
      </c>
      <c r="S90" s="12">
        <f>R90/P90</f>
        <v>0.23062997827661116</v>
      </c>
      <c r="T90" s="3">
        <v>2</v>
      </c>
      <c r="U90" s="3">
        <v>2</v>
      </c>
      <c r="V90" s="3" t="str">
        <f>IF(U90&lt;=T90+1,"On-Time","Late")</f>
        <v>On-Time</v>
      </c>
      <c r="W90" s="3" t="s">
        <v>79</v>
      </c>
      <c r="X90" s="3" t="s">
        <v>80</v>
      </c>
      <c r="Y90" s="3" t="s">
        <v>81</v>
      </c>
    </row>
    <row r="91" spans="1:25">
      <c r="A91" s="3" t="s">
        <v>236</v>
      </c>
      <c r="B91" s="8">
        <v>46055</v>
      </c>
      <c r="C91" s="8">
        <v>46063</v>
      </c>
      <c r="D91" s="8">
        <v>46065</v>
      </c>
      <c r="E91" s="3" t="s">
        <v>103</v>
      </c>
      <c r="F91" s="3" t="s">
        <v>71</v>
      </c>
      <c r="G91" s="3" t="s">
        <v>104</v>
      </c>
      <c r="H91" s="3" t="s">
        <v>105</v>
      </c>
      <c r="I91" s="3" t="s">
        <v>106</v>
      </c>
      <c r="J91" s="3" t="s">
        <v>107</v>
      </c>
      <c r="K91" s="3" t="s">
        <v>123</v>
      </c>
      <c r="L91" s="3" t="s">
        <v>124</v>
      </c>
      <c r="M91" s="3" t="s">
        <v>143</v>
      </c>
      <c r="N91" s="3">
        <v>2.1</v>
      </c>
      <c r="O91" s="9">
        <v>2100</v>
      </c>
      <c r="P91" s="10">
        <v>8045</v>
      </c>
      <c r="Q91" s="10">
        <v>6246</v>
      </c>
      <c r="R91" s="11">
        <f>P91-Q91</f>
        <v>1799</v>
      </c>
      <c r="S91" s="12">
        <f>R91/P91</f>
        <v>0.22361715351149783</v>
      </c>
      <c r="T91" s="3">
        <v>2</v>
      </c>
      <c r="U91" s="3">
        <v>2</v>
      </c>
      <c r="V91" s="3" t="str">
        <f>IF(U91&lt;=T91+1,"On-Time","Late")</f>
        <v>On-Time</v>
      </c>
      <c r="W91" s="3" t="s">
        <v>79</v>
      </c>
      <c r="X91" s="3" t="s">
        <v>80</v>
      </c>
      <c r="Y91" s="3" t="s">
        <v>117</v>
      </c>
    </row>
    <row r="92" spans="1:25">
      <c r="A92" s="3" t="s">
        <v>237</v>
      </c>
      <c r="B92" s="8">
        <v>46124</v>
      </c>
      <c r="C92" s="8">
        <v>46135</v>
      </c>
      <c r="D92" s="8">
        <v>46137</v>
      </c>
      <c r="E92" s="3" t="s">
        <v>103</v>
      </c>
      <c r="F92" s="3" t="s">
        <v>71</v>
      </c>
      <c r="G92" s="3" t="s">
        <v>132</v>
      </c>
      <c r="H92" s="3" t="s">
        <v>105</v>
      </c>
      <c r="I92" s="3" t="s">
        <v>133</v>
      </c>
      <c r="J92" s="3" t="s">
        <v>107</v>
      </c>
      <c r="K92" s="3" t="s">
        <v>113</v>
      </c>
      <c r="L92" s="3" t="s">
        <v>114</v>
      </c>
      <c r="M92" s="3" t="s">
        <v>110</v>
      </c>
      <c r="N92" s="3">
        <v>2.1</v>
      </c>
      <c r="O92" s="9">
        <v>2100</v>
      </c>
      <c r="P92" s="10">
        <v>10529</v>
      </c>
      <c r="Q92" s="10">
        <v>8340</v>
      </c>
      <c r="R92" s="11">
        <f>P92-Q92</f>
        <v>2189</v>
      </c>
      <c r="S92" s="12">
        <f>R92/P92</f>
        <v>0.20790198499382656</v>
      </c>
      <c r="T92" s="3">
        <v>2</v>
      </c>
      <c r="U92" s="3">
        <v>2</v>
      </c>
      <c r="V92" s="3" t="str">
        <f>IF(U92&lt;=T92+1,"On-Time","Late")</f>
        <v>On-Time</v>
      </c>
      <c r="W92" s="3" t="s">
        <v>79</v>
      </c>
      <c r="X92" s="3" t="s">
        <v>116</v>
      </c>
      <c r="Y92" s="3" t="s">
        <v>81</v>
      </c>
    </row>
    <row r="93" spans="1:25">
      <c r="A93" s="3" t="s">
        <v>238</v>
      </c>
      <c r="B93" s="8">
        <v>46053</v>
      </c>
      <c r="C93" s="8">
        <v>46058</v>
      </c>
      <c r="D93" s="8">
        <v>46073</v>
      </c>
      <c r="E93" s="3" t="s">
        <v>83</v>
      </c>
      <c r="F93" s="3" t="s">
        <v>96</v>
      </c>
      <c r="G93" s="3" t="s">
        <v>98</v>
      </c>
      <c r="H93" s="3" t="s">
        <v>99</v>
      </c>
      <c r="I93" s="3" t="s">
        <v>100</v>
      </c>
      <c r="J93" s="3" t="s">
        <v>101</v>
      </c>
      <c r="K93" s="3" t="s">
        <v>76</v>
      </c>
      <c r="L93" s="3" t="s">
        <v>77</v>
      </c>
      <c r="M93" s="3" t="s">
        <v>91</v>
      </c>
      <c r="N93" s="3">
        <v>3</v>
      </c>
      <c r="O93" s="9">
        <v>51075</v>
      </c>
      <c r="P93" s="10">
        <v>6900</v>
      </c>
      <c r="Q93" s="10">
        <v>5614</v>
      </c>
      <c r="R93" s="11">
        <f>P93-Q93</f>
        <v>1286</v>
      </c>
      <c r="S93" s="12">
        <f>R93/P93</f>
        <v>0.18637681159420288</v>
      </c>
      <c r="T93" s="3">
        <v>14</v>
      </c>
      <c r="U93" s="3">
        <v>15</v>
      </c>
      <c r="V93" s="3" t="str">
        <f>IF(U93&lt;=T93+1,"On-Time","Late")</f>
        <v>On-Time</v>
      </c>
      <c r="W93" s="3" t="s">
        <v>79</v>
      </c>
      <c r="X93" s="3" t="s">
        <v>80</v>
      </c>
      <c r="Y93" s="3" t="s">
        <v>92</v>
      </c>
    </row>
    <row r="94" spans="1:25">
      <c r="A94" s="3" t="s">
        <v>239</v>
      </c>
      <c r="B94" s="8">
        <v>46148</v>
      </c>
      <c r="C94" s="8">
        <v>46158</v>
      </c>
      <c r="D94" s="8">
        <v>46176</v>
      </c>
      <c r="E94" s="3" t="s">
        <v>83</v>
      </c>
      <c r="F94" s="3" t="s">
        <v>96</v>
      </c>
      <c r="G94" s="3" t="s">
        <v>85</v>
      </c>
      <c r="H94" s="3" t="s">
        <v>86</v>
      </c>
      <c r="I94" s="3" t="s">
        <v>87</v>
      </c>
      <c r="J94" s="3" t="s">
        <v>88</v>
      </c>
      <c r="K94" s="3" t="s">
        <v>128</v>
      </c>
      <c r="L94" s="3" t="s">
        <v>129</v>
      </c>
      <c r="M94" s="3" t="s">
        <v>167</v>
      </c>
      <c r="N94" s="3">
        <v>6</v>
      </c>
      <c r="O94" s="9">
        <v>121194</v>
      </c>
      <c r="P94" s="10">
        <v>14526</v>
      </c>
      <c r="Q94" s="10">
        <v>12944</v>
      </c>
      <c r="R94" s="11">
        <f>P94-Q94</f>
        <v>1582</v>
      </c>
      <c r="S94" s="12">
        <f>R94/P94</f>
        <v>0.10890816467024646</v>
      </c>
      <c r="T94" s="3">
        <v>18</v>
      </c>
      <c r="U94" s="3">
        <v>18</v>
      </c>
      <c r="V94" s="3" t="str">
        <f>IF(U94&lt;=T94+1,"On-Time","Late")</f>
        <v>On-Time</v>
      </c>
      <c r="W94" s="3" t="s">
        <v>79</v>
      </c>
      <c r="X94" s="3" t="s">
        <v>116</v>
      </c>
      <c r="Y94" s="3" t="s">
        <v>117</v>
      </c>
    </row>
    <row r="95" spans="1:25">
      <c r="A95" s="3" t="s">
        <v>240</v>
      </c>
      <c r="B95" s="8">
        <v>46135</v>
      </c>
      <c r="C95" s="8">
        <v>46149</v>
      </c>
      <c r="D95" s="8">
        <v>46152</v>
      </c>
      <c r="E95" s="3" t="s">
        <v>103</v>
      </c>
      <c r="F95" s="3" t="s">
        <v>96</v>
      </c>
      <c r="G95" s="3" t="s">
        <v>85</v>
      </c>
      <c r="H95" s="3" t="s">
        <v>119</v>
      </c>
      <c r="I95" s="3" t="s">
        <v>120</v>
      </c>
      <c r="J95" s="3" t="s">
        <v>121</v>
      </c>
      <c r="K95" s="3" t="s">
        <v>108</v>
      </c>
      <c r="L95" s="3" t="s">
        <v>109</v>
      </c>
      <c r="M95" s="3" t="s">
        <v>110</v>
      </c>
      <c r="N95" s="3">
        <v>4.8</v>
      </c>
      <c r="O95" s="9">
        <v>4800</v>
      </c>
      <c r="P95" s="10">
        <v>24508</v>
      </c>
      <c r="Q95" s="10">
        <v>18979</v>
      </c>
      <c r="R95" s="11">
        <f>P95-Q95</f>
        <v>5529</v>
      </c>
      <c r="S95" s="12">
        <f>R95/P95</f>
        <v>0.22559980414558511</v>
      </c>
      <c r="T95" s="3">
        <v>3</v>
      </c>
      <c r="U95" s="3">
        <v>3</v>
      </c>
      <c r="V95" s="3" t="str">
        <f>IF(U95&lt;=T95+1,"On-Time","Late")</f>
        <v>On-Time</v>
      </c>
      <c r="W95" s="3" t="s">
        <v>79</v>
      </c>
      <c r="X95" s="3" t="s">
        <v>111</v>
      </c>
      <c r="Y95" s="3" t="s">
        <v>137</v>
      </c>
    </row>
    <row r="96" spans="1:25">
      <c r="A96" s="3" t="s">
        <v>241</v>
      </c>
      <c r="B96" s="8">
        <v>46087</v>
      </c>
      <c r="C96" s="8">
        <v>46096</v>
      </c>
      <c r="D96" s="8">
        <v>46115</v>
      </c>
      <c r="E96" s="3" t="s">
        <v>83</v>
      </c>
      <c r="F96" s="3" t="s">
        <v>96</v>
      </c>
      <c r="G96" s="3" t="s">
        <v>126</v>
      </c>
      <c r="H96" s="3" t="s">
        <v>86</v>
      </c>
      <c r="I96" s="3" t="s">
        <v>127</v>
      </c>
      <c r="J96" s="3" t="s">
        <v>88</v>
      </c>
      <c r="K96" s="3" t="s">
        <v>160</v>
      </c>
      <c r="L96" s="3" t="s">
        <v>161</v>
      </c>
      <c r="M96" s="3" t="s">
        <v>167</v>
      </c>
      <c r="N96" s="3">
        <v>1</v>
      </c>
      <c r="O96" s="9">
        <v>9992</v>
      </c>
      <c r="P96" s="10">
        <v>2315</v>
      </c>
      <c r="Q96" s="10">
        <v>1954</v>
      </c>
      <c r="R96" s="11">
        <f>P96-Q96</f>
        <v>361</v>
      </c>
      <c r="S96" s="12">
        <f>R96/P96</f>
        <v>0.15593952483801296</v>
      </c>
      <c r="T96" s="3">
        <v>19</v>
      </c>
      <c r="U96" s="3">
        <v>19</v>
      </c>
      <c r="V96" s="3" t="str">
        <f>IF(U96&lt;=T96+1,"On-Time","Late")</f>
        <v>On-Time</v>
      </c>
      <c r="W96" s="3" t="s">
        <v>79</v>
      </c>
      <c r="X96" s="3" t="s">
        <v>116</v>
      </c>
      <c r="Y96" s="3" t="s">
        <v>94</v>
      </c>
    </row>
    <row r="97" spans="1:25">
      <c r="A97" s="3" t="s">
        <v>242</v>
      </c>
      <c r="B97" s="8">
        <v>46142</v>
      </c>
      <c r="C97" s="8">
        <v>46153</v>
      </c>
      <c r="D97" s="8">
        <v>46172</v>
      </c>
      <c r="E97" s="3" t="s">
        <v>83</v>
      </c>
      <c r="F97" s="3" t="s">
        <v>96</v>
      </c>
      <c r="G97" s="3" t="s">
        <v>85</v>
      </c>
      <c r="H97" s="3" t="s">
        <v>86</v>
      </c>
      <c r="I97" s="3" t="s">
        <v>87</v>
      </c>
      <c r="J97" s="3" t="s">
        <v>88</v>
      </c>
      <c r="K97" s="3" t="s">
        <v>89</v>
      </c>
      <c r="L97" s="3" t="s">
        <v>90</v>
      </c>
      <c r="M97" s="3" t="s">
        <v>130</v>
      </c>
      <c r="N97" s="3">
        <v>3</v>
      </c>
      <c r="O97" s="9">
        <v>46404</v>
      </c>
      <c r="P97" s="10">
        <v>8469</v>
      </c>
      <c r="Q97" s="10">
        <v>7602</v>
      </c>
      <c r="R97" s="11">
        <f>P97-Q97</f>
        <v>867</v>
      </c>
      <c r="S97" s="12">
        <f>R97/P97</f>
        <v>0.10237336167198016</v>
      </c>
      <c r="T97" s="3">
        <v>18</v>
      </c>
      <c r="U97" s="3">
        <v>19</v>
      </c>
      <c r="V97" s="3" t="str">
        <f>IF(U97&lt;=T97+1,"On-Time","Late")</f>
        <v>On-Time</v>
      </c>
      <c r="W97" s="3" t="s">
        <v>79</v>
      </c>
      <c r="X97" s="3" t="s">
        <v>80</v>
      </c>
      <c r="Y97" s="3" t="s">
        <v>94</v>
      </c>
    </row>
    <row r="98" spans="1:25">
      <c r="A98" s="3" t="s">
        <v>243</v>
      </c>
      <c r="B98" s="8">
        <v>46084</v>
      </c>
      <c r="C98" s="8">
        <v>46095</v>
      </c>
      <c r="D98" s="8">
        <v>46114</v>
      </c>
      <c r="E98" s="3" t="s">
        <v>83</v>
      </c>
      <c r="F98" s="3" t="s">
        <v>96</v>
      </c>
      <c r="G98" s="3" t="s">
        <v>126</v>
      </c>
      <c r="H98" s="3" t="s">
        <v>86</v>
      </c>
      <c r="I98" s="3" t="s">
        <v>127</v>
      </c>
      <c r="J98" s="3" t="s">
        <v>88</v>
      </c>
      <c r="K98" s="3" t="s">
        <v>128</v>
      </c>
      <c r="L98" s="3" t="s">
        <v>129</v>
      </c>
      <c r="M98" s="3" t="s">
        <v>130</v>
      </c>
      <c r="N98" s="3">
        <v>3</v>
      </c>
      <c r="O98" s="9">
        <v>32934</v>
      </c>
      <c r="P98" s="10">
        <v>7158</v>
      </c>
      <c r="Q98" s="10">
        <v>5964</v>
      </c>
      <c r="R98" s="11">
        <f>P98-Q98</f>
        <v>1194</v>
      </c>
      <c r="S98" s="12">
        <f>R98/P98</f>
        <v>0.16680637049455155</v>
      </c>
      <c r="T98" s="3">
        <v>19</v>
      </c>
      <c r="U98" s="3">
        <v>19</v>
      </c>
      <c r="V98" s="3" t="str">
        <f>IF(U98&lt;=T98+1,"On-Time","Late")</f>
        <v>On-Time</v>
      </c>
      <c r="W98" s="3" t="s">
        <v>79</v>
      </c>
      <c r="X98" s="3" t="s">
        <v>116</v>
      </c>
      <c r="Y98" s="3" t="s">
        <v>92</v>
      </c>
    </row>
    <row r="99" spans="1:25">
      <c r="A99" s="3" t="s">
        <v>244</v>
      </c>
      <c r="B99" s="8">
        <v>46141</v>
      </c>
      <c r="C99" s="8">
        <v>46147</v>
      </c>
      <c r="D99" s="8">
        <v>46149</v>
      </c>
      <c r="E99" s="3" t="s">
        <v>103</v>
      </c>
      <c r="F99" s="3" t="s">
        <v>96</v>
      </c>
      <c r="G99" s="3" t="s">
        <v>132</v>
      </c>
      <c r="H99" s="3" t="s">
        <v>105</v>
      </c>
      <c r="I99" s="3" t="s">
        <v>133</v>
      </c>
      <c r="J99" s="3" t="s">
        <v>107</v>
      </c>
      <c r="K99" s="3" t="s">
        <v>113</v>
      </c>
      <c r="L99" s="3" t="s">
        <v>114</v>
      </c>
      <c r="M99" s="3" t="s">
        <v>143</v>
      </c>
      <c r="N99" s="3">
        <v>4.8</v>
      </c>
      <c r="O99" s="9">
        <v>4800</v>
      </c>
      <c r="P99" s="10">
        <v>24513</v>
      </c>
      <c r="Q99" s="10">
        <v>19631</v>
      </c>
      <c r="R99" s="11">
        <f>P99-Q99</f>
        <v>4882</v>
      </c>
      <c r="S99" s="12">
        <f>R99/P99</f>
        <v>0.19915962958430219</v>
      </c>
      <c r="T99" s="3">
        <v>2</v>
      </c>
      <c r="U99" s="3">
        <v>2</v>
      </c>
      <c r="V99" s="3" t="str">
        <f>IF(U99&lt;=T99+1,"On-Time","Late")</f>
        <v>On-Time</v>
      </c>
      <c r="W99" s="3" t="s">
        <v>79</v>
      </c>
      <c r="X99" s="3" t="s">
        <v>116</v>
      </c>
      <c r="Y99" s="3" t="s">
        <v>117</v>
      </c>
    </row>
    <row r="100" spans="1:25">
      <c r="A100" s="3" t="s">
        <v>245</v>
      </c>
      <c r="B100" s="8">
        <v>46032</v>
      </c>
      <c r="C100" s="8">
        <v>46045</v>
      </c>
      <c r="D100" s="8">
        <v>46061</v>
      </c>
      <c r="E100" s="3" t="s">
        <v>83</v>
      </c>
      <c r="F100" s="3" t="s">
        <v>96</v>
      </c>
      <c r="G100" s="3" t="s">
        <v>163</v>
      </c>
      <c r="H100" s="3" t="s">
        <v>99</v>
      </c>
      <c r="I100" s="3" t="s">
        <v>164</v>
      </c>
      <c r="J100" s="3" t="s">
        <v>101</v>
      </c>
      <c r="K100" s="3" t="s">
        <v>76</v>
      </c>
      <c r="L100" s="3" t="s">
        <v>77</v>
      </c>
      <c r="M100" s="3" t="s">
        <v>91</v>
      </c>
      <c r="N100" s="3">
        <v>2</v>
      </c>
      <c r="O100" s="9">
        <v>33280</v>
      </c>
      <c r="P100" s="10">
        <v>6170</v>
      </c>
      <c r="Q100" s="10">
        <v>5034</v>
      </c>
      <c r="R100" s="11">
        <f>P100-Q100</f>
        <v>1136</v>
      </c>
      <c r="S100" s="12">
        <f>R100/P100</f>
        <v>0.18411669367909239</v>
      </c>
      <c r="T100" s="3">
        <v>15</v>
      </c>
      <c r="U100" s="3">
        <v>16</v>
      </c>
      <c r="V100" s="3" t="str">
        <f>IF(U100&lt;=T100+1,"On-Time","Late")</f>
        <v>On-Time</v>
      </c>
      <c r="W100" s="3" t="s">
        <v>79</v>
      </c>
      <c r="X100" s="3" t="s">
        <v>80</v>
      </c>
      <c r="Y100" s="3" t="s">
        <v>81</v>
      </c>
    </row>
    <row r="101" spans="1:25">
      <c r="A101" s="3" t="s">
        <v>246</v>
      </c>
      <c r="B101" s="8">
        <v>46017</v>
      </c>
      <c r="C101" s="8">
        <v>46029</v>
      </c>
      <c r="D101" s="8">
        <v>46048</v>
      </c>
      <c r="E101" s="3" t="s">
        <v>83</v>
      </c>
      <c r="F101" s="3" t="s">
        <v>96</v>
      </c>
      <c r="G101" s="3" t="s">
        <v>126</v>
      </c>
      <c r="H101" s="3" t="s">
        <v>86</v>
      </c>
      <c r="I101" s="3" t="s">
        <v>127</v>
      </c>
      <c r="J101" s="3" t="s">
        <v>88</v>
      </c>
      <c r="K101" s="3" t="s">
        <v>128</v>
      </c>
      <c r="L101" s="3" t="s">
        <v>129</v>
      </c>
      <c r="M101" s="3" t="s">
        <v>136</v>
      </c>
      <c r="N101" s="3">
        <v>2</v>
      </c>
      <c r="O101" s="9">
        <v>28916</v>
      </c>
      <c r="P101" s="10">
        <v>5990</v>
      </c>
      <c r="Q101" s="10">
        <v>4912</v>
      </c>
      <c r="R101" s="11">
        <f>P101-Q101</f>
        <v>1078</v>
      </c>
      <c r="S101" s="12">
        <f>R101/P101</f>
        <v>0.17996661101836395</v>
      </c>
      <c r="T101" s="3">
        <v>19</v>
      </c>
      <c r="U101" s="3">
        <v>19</v>
      </c>
      <c r="V101" s="3" t="str">
        <f>IF(U101&lt;=T101+1,"On-Time","Late")</f>
        <v>On-Time</v>
      </c>
      <c r="W101" s="3" t="s">
        <v>79</v>
      </c>
      <c r="X101" s="3" t="s">
        <v>116</v>
      </c>
      <c r="Y101" s="3" t="s">
        <v>81</v>
      </c>
    </row>
    <row r="102" spans="1:25">
      <c r="A102" s="3" t="s">
        <v>247</v>
      </c>
      <c r="B102" s="8">
        <v>46055</v>
      </c>
      <c r="C102" s="8">
        <v>46066</v>
      </c>
      <c r="D102" s="8">
        <v>46084</v>
      </c>
      <c r="E102" s="3" t="s">
        <v>83</v>
      </c>
      <c r="F102" s="3" t="s">
        <v>96</v>
      </c>
      <c r="G102" s="3" t="s">
        <v>98</v>
      </c>
      <c r="H102" s="3" t="s">
        <v>99</v>
      </c>
      <c r="I102" s="3" t="s">
        <v>100</v>
      </c>
      <c r="J102" s="3" t="s">
        <v>101</v>
      </c>
      <c r="K102" s="3" t="s">
        <v>165</v>
      </c>
      <c r="L102" s="3" t="s">
        <v>166</v>
      </c>
      <c r="M102" s="3" t="s">
        <v>167</v>
      </c>
      <c r="N102" s="3">
        <v>4</v>
      </c>
      <c r="O102" s="9">
        <v>78960</v>
      </c>
      <c r="P102" s="10">
        <v>11052</v>
      </c>
      <c r="Q102" s="10">
        <v>9049</v>
      </c>
      <c r="R102" s="11">
        <f>P102-Q102</f>
        <v>2003</v>
      </c>
      <c r="S102" s="12">
        <f>R102/P102</f>
        <v>0.18123416576185306</v>
      </c>
      <c r="T102" s="3">
        <v>14</v>
      </c>
      <c r="U102" s="3">
        <v>18</v>
      </c>
      <c r="V102" s="3" t="str">
        <f>IF(U102&lt;=T102+1,"On-Time","Late")</f>
        <v>Late</v>
      </c>
      <c r="W102" s="3" t="s">
        <v>79</v>
      </c>
      <c r="X102" s="3" t="s">
        <v>111</v>
      </c>
      <c r="Y102" s="3" t="s">
        <v>92</v>
      </c>
    </row>
    <row r="103" spans="1:25">
      <c r="A103" s="3" t="s">
        <v>248</v>
      </c>
      <c r="B103" s="8">
        <v>46085</v>
      </c>
      <c r="C103" s="8">
        <v>46094</v>
      </c>
      <c r="D103" s="8">
        <v>46113</v>
      </c>
      <c r="E103" s="3" t="s">
        <v>83</v>
      </c>
      <c r="F103" s="3" t="s">
        <v>84</v>
      </c>
      <c r="G103" s="3" t="s">
        <v>140</v>
      </c>
      <c r="H103" s="3" t="s">
        <v>86</v>
      </c>
      <c r="I103" s="3" t="s">
        <v>141</v>
      </c>
      <c r="J103" s="3" t="s">
        <v>88</v>
      </c>
      <c r="K103" s="3" t="s">
        <v>89</v>
      </c>
      <c r="L103" s="3" t="s">
        <v>90</v>
      </c>
      <c r="M103" s="3" t="s">
        <v>167</v>
      </c>
      <c r="N103" s="3">
        <v>2</v>
      </c>
      <c r="O103" s="9">
        <v>38794</v>
      </c>
      <c r="P103" s="10">
        <v>5578</v>
      </c>
      <c r="Q103" s="10">
        <v>4666</v>
      </c>
      <c r="R103" s="11">
        <f>P103-Q103</f>
        <v>912</v>
      </c>
      <c r="S103" s="12">
        <f>R103/P103</f>
        <v>0.1634994621728218</v>
      </c>
      <c r="T103" s="3">
        <v>18</v>
      </c>
      <c r="U103" s="3">
        <v>19</v>
      </c>
      <c r="V103" s="3" t="str">
        <f>IF(U103&lt;=T103+1,"On-Time","Late")</f>
        <v>On-Time</v>
      </c>
      <c r="W103" s="3" t="s">
        <v>79</v>
      </c>
      <c r="X103" s="3" t="s">
        <v>80</v>
      </c>
      <c r="Y103" s="3" t="s">
        <v>92</v>
      </c>
    </row>
    <row r="104" spans="1:25">
      <c r="A104" s="3" t="s">
        <v>249</v>
      </c>
      <c r="B104" s="8">
        <v>46063</v>
      </c>
      <c r="C104" s="8">
        <v>46074</v>
      </c>
      <c r="D104" s="8">
        <v>46076</v>
      </c>
      <c r="E104" s="3" t="s">
        <v>70</v>
      </c>
      <c r="F104" s="3" t="s">
        <v>71</v>
      </c>
      <c r="G104" s="3" t="s">
        <v>72</v>
      </c>
      <c r="H104" s="3" t="s">
        <v>73</v>
      </c>
      <c r="I104" s="3" t="s">
        <v>74</v>
      </c>
      <c r="J104" s="3" t="s">
        <v>75</v>
      </c>
      <c r="K104" s="3" t="s">
        <v>76</v>
      </c>
      <c r="L104" s="3" t="s">
        <v>77</v>
      </c>
      <c r="M104" s="3" t="s">
        <v>219</v>
      </c>
      <c r="N104" s="3">
        <v>2.8</v>
      </c>
      <c r="O104" s="9">
        <v>2800</v>
      </c>
      <c r="P104" s="10">
        <v>1974</v>
      </c>
      <c r="Q104" s="10">
        <v>1553</v>
      </c>
      <c r="R104" s="11">
        <f>P104-Q104</f>
        <v>421</v>
      </c>
      <c r="S104" s="12">
        <f>R104/P104</f>
        <v>0.21327254305977711</v>
      </c>
      <c r="T104" s="3">
        <v>2</v>
      </c>
      <c r="U104" s="3">
        <v>2</v>
      </c>
      <c r="V104" s="3" t="str">
        <f>IF(U104&lt;=T104+1,"On-Time","Late")</f>
        <v>On-Time</v>
      </c>
      <c r="W104" s="3" t="s">
        <v>79</v>
      </c>
      <c r="X104" s="3" t="s">
        <v>80</v>
      </c>
      <c r="Y104" s="3" t="s">
        <v>94</v>
      </c>
    </row>
    <row r="105" spans="1:25">
      <c r="A105" s="3" t="s">
        <v>250</v>
      </c>
      <c r="B105" s="8">
        <v>46082</v>
      </c>
      <c r="C105" s="8">
        <v>46087</v>
      </c>
      <c r="D105" s="8">
        <v>46091</v>
      </c>
      <c r="E105" s="3" t="s">
        <v>103</v>
      </c>
      <c r="F105" s="3" t="s">
        <v>71</v>
      </c>
      <c r="G105" s="3" t="s">
        <v>85</v>
      </c>
      <c r="H105" s="3" t="s">
        <v>119</v>
      </c>
      <c r="I105" s="3" t="s">
        <v>120</v>
      </c>
      <c r="J105" s="3" t="s">
        <v>121</v>
      </c>
      <c r="K105" s="3" t="s">
        <v>108</v>
      </c>
      <c r="L105" s="3" t="s">
        <v>109</v>
      </c>
      <c r="M105" s="3" t="s">
        <v>110</v>
      </c>
      <c r="N105" s="3">
        <v>1</v>
      </c>
      <c r="O105" s="9">
        <v>1000</v>
      </c>
      <c r="P105" s="10">
        <v>4854</v>
      </c>
      <c r="Q105" s="10">
        <v>3753</v>
      </c>
      <c r="R105" s="11">
        <f>P105-Q105</f>
        <v>1101</v>
      </c>
      <c r="S105" s="12">
        <f>R105/P105</f>
        <v>0.22682323856613101</v>
      </c>
      <c r="T105" s="3">
        <v>3</v>
      </c>
      <c r="U105" s="3">
        <v>4</v>
      </c>
      <c r="V105" s="3" t="str">
        <f>IF(U105&lt;=T105+1,"On-Time","Late")</f>
        <v>On-Time</v>
      </c>
      <c r="W105" s="3" t="s">
        <v>79</v>
      </c>
      <c r="X105" s="3" t="s">
        <v>111</v>
      </c>
      <c r="Y105" s="3" t="s">
        <v>94</v>
      </c>
    </row>
    <row r="106" spans="1:25">
      <c r="A106" s="3" t="s">
        <v>251</v>
      </c>
      <c r="B106" s="8">
        <v>46155</v>
      </c>
      <c r="C106" s="8">
        <v>46167</v>
      </c>
      <c r="D106" s="8">
        <v>46171</v>
      </c>
      <c r="E106" s="3" t="s">
        <v>103</v>
      </c>
      <c r="F106" s="3" t="s">
        <v>149</v>
      </c>
      <c r="G106" s="3" t="s">
        <v>150</v>
      </c>
      <c r="H106" s="3" t="s">
        <v>119</v>
      </c>
      <c r="I106" s="3" t="s">
        <v>151</v>
      </c>
      <c r="J106" s="3" t="s">
        <v>121</v>
      </c>
      <c r="K106" s="3" t="s">
        <v>152</v>
      </c>
      <c r="L106" s="3" t="s">
        <v>153</v>
      </c>
      <c r="M106" s="3" t="s">
        <v>110</v>
      </c>
      <c r="N106" s="3">
        <v>5.0999999999999996</v>
      </c>
      <c r="O106" s="9">
        <v>5100</v>
      </c>
      <c r="P106" s="10">
        <v>26657</v>
      </c>
      <c r="Q106" s="10">
        <v>20598</v>
      </c>
      <c r="R106" s="11">
        <f>P106-Q106</f>
        <v>6059</v>
      </c>
      <c r="S106" s="12">
        <f>R106/P106</f>
        <v>0.22729489439921971</v>
      </c>
      <c r="T106" s="3">
        <v>3</v>
      </c>
      <c r="U106" s="3">
        <v>4</v>
      </c>
      <c r="V106" s="3" t="str">
        <f>IF(U106&lt;=T106+1,"On-Time","Late")</f>
        <v>On-Time</v>
      </c>
      <c r="W106" s="3" t="s">
        <v>196</v>
      </c>
      <c r="X106" s="3" t="s">
        <v>111</v>
      </c>
      <c r="Y106" s="3" t="s">
        <v>117</v>
      </c>
    </row>
    <row r="107" spans="1:25">
      <c r="A107" s="3" t="s">
        <v>252</v>
      </c>
      <c r="B107" s="8">
        <v>46163</v>
      </c>
      <c r="C107" s="8">
        <v>46172</v>
      </c>
      <c r="D107" s="8">
        <v>46187</v>
      </c>
      <c r="E107" s="3" t="s">
        <v>83</v>
      </c>
      <c r="F107" s="3" t="s">
        <v>84</v>
      </c>
      <c r="G107" s="3" t="s">
        <v>98</v>
      </c>
      <c r="H107" s="3" t="s">
        <v>99</v>
      </c>
      <c r="I107" s="3" t="s">
        <v>100</v>
      </c>
      <c r="J107" s="3" t="s">
        <v>101</v>
      </c>
      <c r="K107" s="3" t="s">
        <v>165</v>
      </c>
      <c r="L107" s="3" t="s">
        <v>166</v>
      </c>
      <c r="M107" s="3" t="s">
        <v>167</v>
      </c>
      <c r="N107" s="3">
        <v>1</v>
      </c>
      <c r="O107" s="9">
        <v>18250</v>
      </c>
      <c r="P107" s="10">
        <v>3227</v>
      </c>
      <c r="Q107" s="10">
        <v>2666</v>
      </c>
      <c r="R107" s="11">
        <f>P107-Q107</f>
        <v>561</v>
      </c>
      <c r="S107" s="12">
        <f>R107/P107</f>
        <v>0.17384567709947318</v>
      </c>
      <c r="T107" s="3">
        <v>14</v>
      </c>
      <c r="U107" s="3">
        <v>15</v>
      </c>
      <c r="V107" s="3" t="str">
        <f>IF(U107&lt;=T107+1,"On-Time","Late")</f>
        <v>On-Time</v>
      </c>
      <c r="W107" s="3" t="s">
        <v>196</v>
      </c>
      <c r="X107" s="3" t="s">
        <v>111</v>
      </c>
      <c r="Y107" s="3" t="s">
        <v>117</v>
      </c>
    </row>
    <row r="108" spans="1:25">
      <c r="A108" s="3" t="s">
        <v>253</v>
      </c>
      <c r="B108" s="8">
        <v>46129</v>
      </c>
      <c r="C108" s="8">
        <v>46134</v>
      </c>
      <c r="D108" s="8">
        <v>46137</v>
      </c>
      <c r="E108" s="3" t="s">
        <v>70</v>
      </c>
      <c r="F108" s="3" t="s">
        <v>96</v>
      </c>
      <c r="G108" s="3" t="s">
        <v>72</v>
      </c>
      <c r="H108" s="3" t="s">
        <v>73</v>
      </c>
      <c r="I108" s="3" t="s">
        <v>74</v>
      </c>
      <c r="J108" s="3" t="s">
        <v>75</v>
      </c>
      <c r="K108" s="3" t="s">
        <v>123</v>
      </c>
      <c r="L108" s="3" t="s">
        <v>124</v>
      </c>
      <c r="M108" s="3" t="s">
        <v>78</v>
      </c>
      <c r="N108" s="3">
        <v>2.8</v>
      </c>
      <c r="O108" s="9">
        <v>2800</v>
      </c>
      <c r="P108" s="10">
        <v>918</v>
      </c>
      <c r="Q108" s="10">
        <v>709</v>
      </c>
      <c r="R108" s="11">
        <f>P108-Q108</f>
        <v>209</v>
      </c>
      <c r="S108" s="12">
        <f>R108/P108</f>
        <v>0.22766884531590414</v>
      </c>
      <c r="T108" s="3">
        <v>2</v>
      </c>
      <c r="U108" s="3">
        <v>3</v>
      </c>
      <c r="V108" s="3" t="str">
        <f>IF(U108&lt;=T108+1,"On-Time","Late")</f>
        <v>On-Time</v>
      </c>
      <c r="W108" s="3" t="s">
        <v>79</v>
      </c>
      <c r="X108" s="3" t="s">
        <v>80</v>
      </c>
      <c r="Y108" s="3" t="s">
        <v>137</v>
      </c>
    </row>
    <row r="109" spans="1:25">
      <c r="A109" s="3" t="s">
        <v>254</v>
      </c>
      <c r="B109" s="8">
        <v>46126</v>
      </c>
      <c r="C109" s="8">
        <v>46134</v>
      </c>
      <c r="D109" s="8">
        <v>46152</v>
      </c>
      <c r="E109" s="3" t="s">
        <v>83</v>
      </c>
      <c r="F109" s="3" t="s">
        <v>96</v>
      </c>
      <c r="G109" s="3" t="s">
        <v>85</v>
      </c>
      <c r="H109" s="3" t="s">
        <v>86</v>
      </c>
      <c r="I109" s="3" t="s">
        <v>87</v>
      </c>
      <c r="J109" s="3" t="s">
        <v>88</v>
      </c>
      <c r="K109" s="3" t="s">
        <v>89</v>
      </c>
      <c r="L109" s="3" t="s">
        <v>90</v>
      </c>
      <c r="M109" s="3" t="s">
        <v>91</v>
      </c>
      <c r="N109" s="3">
        <v>3</v>
      </c>
      <c r="O109" s="9">
        <v>28992</v>
      </c>
      <c r="P109" s="10">
        <v>9741</v>
      </c>
      <c r="Q109" s="10">
        <v>8607</v>
      </c>
      <c r="R109" s="11">
        <f>P109-Q109</f>
        <v>1134</v>
      </c>
      <c r="S109" s="12">
        <f>R109/P109</f>
        <v>0.11641515244841392</v>
      </c>
      <c r="T109" s="3">
        <v>18</v>
      </c>
      <c r="U109" s="3">
        <v>18</v>
      </c>
      <c r="V109" s="3" t="str">
        <f>IF(U109&lt;=T109+1,"On-Time","Late")</f>
        <v>On-Time</v>
      </c>
      <c r="W109" s="3" t="s">
        <v>79</v>
      </c>
      <c r="X109" s="3" t="s">
        <v>80</v>
      </c>
      <c r="Y109" s="3" t="s">
        <v>137</v>
      </c>
    </row>
    <row r="110" spans="1:25">
      <c r="A110" s="3" t="s">
        <v>255</v>
      </c>
      <c r="B110" s="8">
        <v>46017</v>
      </c>
      <c r="C110" s="8">
        <v>46026</v>
      </c>
      <c r="D110" s="8">
        <v>46028</v>
      </c>
      <c r="E110" s="3" t="s">
        <v>103</v>
      </c>
      <c r="F110" s="3" t="s">
        <v>71</v>
      </c>
      <c r="G110" s="3" t="s">
        <v>104</v>
      </c>
      <c r="H110" s="3" t="s">
        <v>105</v>
      </c>
      <c r="I110" s="3" t="s">
        <v>106</v>
      </c>
      <c r="J110" s="3" t="s">
        <v>107</v>
      </c>
      <c r="K110" s="3" t="s">
        <v>123</v>
      </c>
      <c r="L110" s="3" t="s">
        <v>124</v>
      </c>
      <c r="M110" s="3" t="s">
        <v>143</v>
      </c>
      <c r="N110" s="3">
        <v>3.9</v>
      </c>
      <c r="O110" s="9">
        <v>3900</v>
      </c>
      <c r="P110" s="10">
        <v>17269</v>
      </c>
      <c r="Q110" s="10">
        <v>13324</v>
      </c>
      <c r="R110" s="11">
        <f>P110-Q110</f>
        <v>3945</v>
      </c>
      <c r="S110" s="12">
        <f>R110/P110</f>
        <v>0.22844403265967919</v>
      </c>
      <c r="T110" s="3">
        <v>2</v>
      </c>
      <c r="U110" s="3">
        <v>2</v>
      </c>
      <c r="V110" s="3" t="str">
        <f>IF(U110&lt;=T110+1,"On-Time","Late")</f>
        <v>On-Time</v>
      </c>
      <c r="W110" s="3" t="s">
        <v>79</v>
      </c>
      <c r="X110" s="3" t="s">
        <v>80</v>
      </c>
      <c r="Y110" s="3" t="s">
        <v>92</v>
      </c>
    </row>
    <row r="111" spans="1:25">
      <c r="A111" s="3" t="s">
        <v>256</v>
      </c>
      <c r="B111" s="8">
        <v>46107</v>
      </c>
      <c r="C111" s="8">
        <v>46112</v>
      </c>
      <c r="D111" s="8">
        <v>46130</v>
      </c>
      <c r="E111" s="3" t="s">
        <v>83</v>
      </c>
      <c r="F111" s="3" t="s">
        <v>96</v>
      </c>
      <c r="G111" s="3" t="s">
        <v>140</v>
      </c>
      <c r="H111" s="3" t="s">
        <v>86</v>
      </c>
      <c r="I111" s="3" t="s">
        <v>141</v>
      </c>
      <c r="J111" s="3" t="s">
        <v>88</v>
      </c>
      <c r="K111" s="3" t="s">
        <v>156</v>
      </c>
      <c r="L111" s="3" t="s">
        <v>157</v>
      </c>
      <c r="M111" s="3" t="s">
        <v>130</v>
      </c>
      <c r="N111" s="3">
        <v>1</v>
      </c>
      <c r="O111" s="9">
        <v>18964</v>
      </c>
      <c r="P111" s="10">
        <v>3176</v>
      </c>
      <c r="Q111" s="10">
        <v>2576</v>
      </c>
      <c r="R111" s="11">
        <f>P111-Q111</f>
        <v>600</v>
      </c>
      <c r="S111" s="12">
        <f>R111/P111</f>
        <v>0.18891687657430731</v>
      </c>
      <c r="T111" s="3">
        <v>18</v>
      </c>
      <c r="U111" s="3">
        <v>18</v>
      </c>
      <c r="V111" s="3" t="str">
        <f>IF(U111&lt;=T111+1,"On-Time","Late")</f>
        <v>On-Time</v>
      </c>
      <c r="W111" s="3" t="s">
        <v>79</v>
      </c>
      <c r="X111" s="3" t="s">
        <v>111</v>
      </c>
      <c r="Y111" s="3" t="s">
        <v>137</v>
      </c>
    </row>
    <row r="112" spans="1:25">
      <c r="A112" s="3" t="s">
        <v>257</v>
      </c>
      <c r="B112" s="8">
        <v>46150</v>
      </c>
      <c r="C112" s="8">
        <v>46163</v>
      </c>
      <c r="D112" s="8">
        <v>46178</v>
      </c>
      <c r="E112" s="3" t="s">
        <v>83</v>
      </c>
      <c r="F112" s="3" t="s">
        <v>96</v>
      </c>
      <c r="G112" s="3" t="s">
        <v>163</v>
      </c>
      <c r="H112" s="3" t="s">
        <v>99</v>
      </c>
      <c r="I112" s="3" t="s">
        <v>164</v>
      </c>
      <c r="J112" s="3" t="s">
        <v>101</v>
      </c>
      <c r="K112" s="3" t="s">
        <v>165</v>
      </c>
      <c r="L112" s="3" t="s">
        <v>166</v>
      </c>
      <c r="M112" s="3" t="s">
        <v>136</v>
      </c>
      <c r="N112" s="3">
        <v>2</v>
      </c>
      <c r="O112" s="9">
        <v>39824</v>
      </c>
      <c r="P112" s="10">
        <v>5908</v>
      </c>
      <c r="Q112" s="10">
        <v>5030</v>
      </c>
      <c r="R112" s="11">
        <f>P112-Q112</f>
        <v>878</v>
      </c>
      <c r="S112" s="12">
        <f>R112/P112</f>
        <v>0.14861205145565334</v>
      </c>
      <c r="T112" s="3">
        <v>15</v>
      </c>
      <c r="U112" s="3">
        <v>15</v>
      </c>
      <c r="V112" s="3" t="str">
        <f>IF(U112&lt;=T112+1,"On-Time","Late")</f>
        <v>On-Time</v>
      </c>
      <c r="W112" s="3" t="s">
        <v>79</v>
      </c>
      <c r="X112" s="3" t="s">
        <v>111</v>
      </c>
      <c r="Y112" s="3" t="s">
        <v>94</v>
      </c>
    </row>
    <row r="113" spans="1:25">
      <c r="A113" s="3" t="s">
        <v>258</v>
      </c>
      <c r="B113" s="8">
        <v>46027</v>
      </c>
      <c r="C113" s="8">
        <v>46041</v>
      </c>
      <c r="D113" s="8">
        <v>46060</v>
      </c>
      <c r="E113" s="3" t="s">
        <v>83</v>
      </c>
      <c r="F113" s="3" t="s">
        <v>96</v>
      </c>
      <c r="G113" s="3" t="s">
        <v>85</v>
      </c>
      <c r="H113" s="3" t="s">
        <v>86</v>
      </c>
      <c r="I113" s="3" t="s">
        <v>87</v>
      </c>
      <c r="J113" s="3" t="s">
        <v>88</v>
      </c>
      <c r="K113" s="3" t="s">
        <v>156</v>
      </c>
      <c r="L113" s="3" t="s">
        <v>157</v>
      </c>
      <c r="M113" s="3" t="s">
        <v>167</v>
      </c>
      <c r="N113" s="3">
        <v>1</v>
      </c>
      <c r="O113" s="9">
        <v>9763</v>
      </c>
      <c r="P113" s="10">
        <v>2870</v>
      </c>
      <c r="Q113" s="10">
        <v>2431</v>
      </c>
      <c r="R113" s="11">
        <f>P113-Q113</f>
        <v>439</v>
      </c>
      <c r="S113" s="12">
        <f>R113/P113</f>
        <v>0.1529616724738676</v>
      </c>
      <c r="T113" s="3">
        <v>18</v>
      </c>
      <c r="U113" s="3">
        <v>19</v>
      </c>
      <c r="V113" s="3" t="str">
        <f>IF(U113&lt;=T113+1,"On-Time","Late")</f>
        <v>On-Time</v>
      </c>
      <c r="W113" s="3" t="s">
        <v>79</v>
      </c>
      <c r="X113" s="3" t="s">
        <v>111</v>
      </c>
      <c r="Y113" s="3" t="s">
        <v>92</v>
      </c>
    </row>
    <row r="114" spans="1:25">
      <c r="A114" s="3" t="s">
        <v>259</v>
      </c>
      <c r="B114" s="8">
        <v>46074</v>
      </c>
      <c r="C114" s="8">
        <v>46079</v>
      </c>
      <c r="D114" s="8">
        <v>46081</v>
      </c>
      <c r="E114" s="3" t="s">
        <v>103</v>
      </c>
      <c r="F114" s="3" t="s">
        <v>96</v>
      </c>
      <c r="G114" s="3" t="s">
        <v>132</v>
      </c>
      <c r="H114" s="3" t="s">
        <v>105</v>
      </c>
      <c r="I114" s="3" t="s">
        <v>133</v>
      </c>
      <c r="J114" s="3" t="s">
        <v>107</v>
      </c>
      <c r="K114" s="3" t="s">
        <v>113</v>
      </c>
      <c r="L114" s="3" t="s">
        <v>114</v>
      </c>
      <c r="M114" s="3" t="s">
        <v>143</v>
      </c>
      <c r="N114" s="3">
        <v>3.6</v>
      </c>
      <c r="O114" s="9">
        <v>3600</v>
      </c>
      <c r="P114" s="10">
        <v>17960</v>
      </c>
      <c r="Q114" s="10">
        <v>14277</v>
      </c>
      <c r="R114" s="11">
        <f>P114-Q114</f>
        <v>3683</v>
      </c>
      <c r="S114" s="12">
        <f>R114/P114</f>
        <v>0.20506681514476616</v>
      </c>
      <c r="T114" s="3">
        <v>2</v>
      </c>
      <c r="U114" s="3">
        <v>2</v>
      </c>
      <c r="V114" s="3" t="str">
        <f>IF(U114&lt;=T114+1,"On-Time","Late")</f>
        <v>On-Time</v>
      </c>
      <c r="W114" s="3" t="s">
        <v>79</v>
      </c>
      <c r="X114" s="3" t="s">
        <v>116</v>
      </c>
      <c r="Y114" s="3" t="s">
        <v>94</v>
      </c>
    </row>
    <row r="115" spans="1:25">
      <c r="A115" s="3" t="s">
        <v>260</v>
      </c>
      <c r="B115" s="8">
        <v>46141</v>
      </c>
      <c r="C115" s="8">
        <v>46146</v>
      </c>
      <c r="D115" s="8">
        <v>46149</v>
      </c>
      <c r="E115" s="3" t="s">
        <v>103</v>
      </c>
      <c r="F115" s="3" t="s">
        <v>71</v>
      </c>
      <c r="G115" s="3" t="s">
        <v>104</v>
      </c>
      <c r="H115" s="3" t="s">
        <v>105</v>
      </c>
      <c r="I115" s="3" t="s">
        <v>106</v>
      </c>
      <c r="J115" s="3" t="s">
        <v>107</v>
      </c>
      <c r="K115" s="3" t="s">
        <v>123</v>
      </c>
      <c r="L115" s="3" t="s">
        <v>124</v>
      </c>
      <c r="M115" s="3" t="s">
        <v>110</v>
      </c>
      <c r="N115" s="3">
        <v>1</v>
      </c>
      <c r="O115" s="9">
        <v>1000</v>
      </c>
      <c r="P115" s="10">
        <v>4129</v>
      </c>
      <c r="Q115" s="10">
        <v>3209</v>
      </c>
      <c r="R115" s="11">
        <f>P115-Q115</f>
        <v>920</v>
      </c>
      <c r="S115" s="12">
        <f>R115/P115</f>
        <v>0.22281424073625575</v>
      </c>
      <c r="T115" s="3">
        <v>2</v>
      </c>
      <c r="U115" s="3">
        <v>3</v>
      </c>
      <c r="V115" s="3" t="str">
        <f>IF(U115&lt;=T115+1,"On-Time","Late")</f>
        <v>On-Time</v>
      </c>
      <c r="W115" s="3" t="s">
        <v>79</v>
      </c>
      <c r="X115" s="3" t="s">
        <v>80</v>
      </c>
      <c r="Y115" s="3" t="s">
        <v>92</v>
      </c>
    </row>
    <row r="116" spans="1:25">
      <c r="A116" s="3" t="s">
        <v>261</v>
      </c>
      <c r="B116" s="8">
        <v>46103</v>
      </c>
      <c r="C116" s="8">
        <v>46114</v>
      </c>
      <c r="D116" s="8">
        <v>46136</v>
      </c>
      <c r="E116" s="3" t="s">
        <v>83</v>
      </c>
      <c r="F116" s="3" t="s">
        <v>84</v>
      </c>
      <c r="G116" s="3" t="s">
        <v>126</v>
      </c>
      <c r="H116" s="3" t="s">
        <v>86</v>
      </c>
      <c r="I116" s="3" t="s">
        <v>127</v>
      </c>
      <c r="J116" s="3" t="s">
        <v>88</v>
      </c>
      <c r="K116" s="3" t="s">
        <v>156</v>
      </c>
      <c r="L116" s="3" t="s">
        <v>157</v>
      </c>
      <c r="M116" s="3" t="s">
        <v>130</v>
      </c>
      <c r="N116" s="3">
        <v>2</v>
      </c>
      <c r="O116" s="9">
        <v>38632</v>
      </c>
      <c r="P116" s="10">
        <v>5076</v>
      </c>
      <c r="Q116" s="10">
        <v>4082</v>
      </c>
      <c r="R116" s="11">
        <f>P116-Q116</f>
        <v>994</v>
      </c>
      <c r="S116" s="12">
        <f>R116/P116</f>
        <v>0.19582348305752562</v>
      </c>
      <c r="T116" s="3">
        <v>19</v>
      </c>
      <c r="U116" s="3">
        <v>22</v>
      </c>
      <c r="V116" s="3" t="str">
        <f>IF(U116&lt;=T116+1,"On-Time","Late")</f>
        <v>Late</v>
      </c>
      <c r="W116" s="3" t="s">
        <v>79</v>
      </c>
      <c r="X116" s="3" t="s">
        <v>111</v>
      </c>
      <c r="Y116" s="3" t="s">
        <v>117</v>
      </c>
    </row>
    <row r="117" spans="1:25">
      <c r="A117" s="3" t="s">
        <v>262</v>
      </c>
      <c r="B117" s="8">
        <v>46154</v>
      </c>
      <c r="C117" s="8">
        <v>46166</v>
      </c>
      <c r="D117" s="8">
        <v>46189</v>
      </c>
      <c r="E117" s="3" t="s">
        <v>83</v>
      </c>
      <c r="F117" s="3" t="s">
        <v>96</v>
      </c>
      <c r="G117" s="3" t="s">
        <v>85</v>
      </c>
      <c r="H117" s="3" t="s">
        <v>86</v>
      </c>
      <c r="I117" s="3" t="s">
        <v>87</v>
      </c>
      <c r="J117" s="3" t="s">
        <v>88</v>
      </c>
      <c r="K117" s="3" t="s">
        <v>156</v>
      </c>
      <c r="L117" s="3" t="s">
        <v>157</v>
      </c>
      <c r="M117" s="3" t="s">
        <v>167</v>
      </c>
      <c r="N117" s="3">
        <v>6</v>
      </c>
      <c r="O117" s="9">
        <v>80100</v>
      </c>
      <c r="P117" s="10">
        <v>15240</v>
      </c>
      <c r="Q117" s="10">
        <v>13633</v>
      </c>
      <c r="R117" s="11">
        <f>P117-Q117</f>
        <v>1607</v>
      </c>
      <c r="S117" s="12">
        <f>R117/P117</f>
        <v>0.10544619422572178</v>
      </c>
      <c r="T117" s="3">
        <v>18</v>
      </c>
      <c r="U117" s="3">
        <v>23</v>
      </c>
      <c r="V117" s="3" t="str">
        <f>IF(U117&lt;=T117+1,"On-Time","Late")</f>
        <v>Late</v>
      </c>
      <c r="W117" s="3" t="s">
        <v>79</v>
      </c>
      <c r="X117" s="3" t="s">
        <v>111</v>
      </c>
      <c r="Y117" s="3" t="s">
        <v>137</v>
      </c>
    </row>
    <row r="118" spans="1:25">
      <c r="A118" s="3" t="s">
        <v>263</v>
      </c>
      <c r="B118" s="8">
        <v>46100</v>
      </c>
      <c r="C118" s="8">
        <v>46108</v>
      </c>
      <c r="D118" s="8">
        <v>46127</v>
      </c>
      <c r="E118" s="3" t="s">
        <v>83</v>
      </c>
      <c r="F118" s="3" t="s">
        <v>96</v>
      </c>
      <c r="G118" s="3" t="s">
        <v>126</v>
      </c>
      <c r="H118" s="3" t="s">
        <v>86</v>
      </c>
      <c r="I118" s="3" t="s">
        <v>127</v>
      </c>
      <c r="J118" s="3" t="s">
        <v>88</v>
      </c>
      <c r="K118" s="3" t="s">
        <v>128</v>
      </c>
      <c r="L118" s="3" t="s">
        <v>129</v>
      </c>
      <c r="M118" s="3" t="s">
        <v>147</v>
      </c>
      <c r="N118" s="3">
        <v>2</v>
      </c>
      <c r="O118" s="9">
        <v>21212</v>
      </c>
      <c r="P118" s="10">
        <v>4684</v>
      </c>
      <c r="Q118" s="10">
        <v>3797</v>
      </c>
      <c r="R118" s="11">
        <f>P118-Q118</f>
        <v>887</v>
      </c>
      <c r="S118" s="12">
        <f>R118/P118</f>
        <v>0.18936806148590948</v>
      </c>
      <c r="T118" s="3">
        <v>19</v>
      </c>
      <c r="U118" s="3">
        <v>19</v>
      </c>
      <c r="V118" s="3" t="str">
        <f>IF(U118&lt;=T118+1,"On-Time","Late")</f>
        <v>On-Time</v>
      </c>
      <c r="W118" s="3" t="s">
        <v>79</v>
      </c>
      <c r="X118" s="3" t="s">
        <v>116</v>
      </c>
      <c r="Y118" s="3" t="s">
        <v>94</v>
      </c>
    </row>
    <row r="119" spans="1:25">
      <c r="A119" s="3" t="s">
        <v>264</v>
      </c>
      <c r="B119" s="8">
        <v>46087</v>
      </c>
      <c r="C119" s="8">
        <v>46096</v>
      </c>
      <c r="D119" s="8">
        <v>46098</v>
      </c>
      <c r="E119" s="3" t="s">
        <v>103</v>
      </c>
      <c r="F119" s="3" t="s">
        <v>96</v>
      </c>
      <c r="G119" s="3" t="s">
        <v>104</v>
      </c>
      <c r="H119" s="3" t="s">
        <v>105</v>
      </c>
      <c r="I119" s="3" t="s">
        <v>106</v>
      </c>
      <c r="J119" s="3" t="s">
        <v>107</v>
      </c>
      <c r="K119" s="3" t="s">
        <v>113</v>
      </c>
      <c r="L119" s="3" t="s">
        <v>114</v>
      </c>
      <c r="M119" s="3" t="s">
        <v>143</v>
      </c>
      <c r="N119" s="3">
        <v>2.1</v>
      </c>
      <c r="O119" s="9">
        <v>2100</v>
      </c>
      <c r="P119" s="10">
        <v>8181</v>
      </c>
      <c r="Q119" s="10">
        <v>6441</v>
      </c>
      <c r="R119" s="11">
        <f>P119-Q119</f>
        <v>1740</v>
      </c>
      <c r="S119" s="12">
        <f>R119/P119</f>
        <v>0.2126879354602127</v>
      </c>
      <c r="T119" s="3">
        <v>2</v>
      </c>
      <c r="U119" s="3">
        <v>2</v>
      </c>
      <c r="V119" s="3" t="str">
        <f>IF(U119&lt;=T119+1,"On-Time","Late")</f>
        <v>On-Time</v>
      </c>
      <c r="W119" s="3" t="s">
        <v>79</v>
      </c>
      <c r="X119" s="3" t="s">
        <v>116</v>
      </c>
      <c r="Y119" s="3" t="s">
        <v>81</v>
      </c>
    </row>
    <row r="120" spans="1:25">
      <c r="A120" s="3" t="s">
        <v>265</v>
      </c>
      <c r="B120" s="8">
        <v>46057</v>
      </c>
      <c r="C120" s="8">
        <v>46071</v>
      </c>
      <c r="D120" s="8">
        <v>46090</v>
      </c>
      <c r="E120" s="3" t="s">
        <v>83</v>
      </c>
      <c r="F120" s="3" t="s">
        <v>84</v>
      </c>
      <c r="G120" s="3" t="s">
        <v>140</v>
      </c>
      <c r="H120" s="3" t="s">
        <v>86</v>
      </c>
      <c r="I120" s="3" t="s">
        <v>141</v>
      </c>
      <c r="J120" s="3" t="s">
        <v>88</v>
      </c>
      <c r="K120" s="3" t="s">
        <v>152</v>
      </c>
      <c r="L120" s="3" t="s">
        <v>153</v>
      </c>
      <c r="M120" s="3" t="s">
        <v>130</v>
      </c>
      <c r="N120" s="3">
        <v>3</v>
      </c>
      <c r="O120" s="9">
        <v>44685</v>
      </c>
      <c r="P120" s="10">
        <v>7713</v>
      </c>
      <c r="Q120" s="10">
        <v>6548</v>
      </c>
      <c r="R120" s="11">
        <f>P120-Q120</f>
        <v>1165</v>
      </c>
      <c r="S120" s="12">
        <f>R120/P120</f>
        <v>0.15104369246726307</v>
      </c>
      <c r="T120" s="3">
        <v>18</v>
      </c>
      <c r="U120" s="3">
        <v>19</v>
      </c>
      <c r="V120" s="3" t="str">
        <f>IF(U120&lt;=T120+1,"On-Time","Late")</f>
        <v>On-Time</v>
      </c>
      <c r="W120" s="3" t="s">
        <v>79</v>
      </c>
      <c r="X120" s="3" t="s">
        <v>111</v>
      </c>
      <c r="Y120" s="3" t="s">
        <v>81</v>
      </c>
    </row>
    <row r="121" spans="1:25">
      <c r="A121" s="3" t="s">
        <v>266</v>
      </c>
      <c r="B121" s="8">
        <v>46109</v>
      </c>
      <c r="C121" s="8">
        <v>46119</v>
      </c>
      <c r="D121" s="8">
        <v>46121</v>
      </c>
      <c r="E121" s="3" t="s">
        <v>70</v>
      </c>
      <c r="F121" s="3" t="s">
        <v>96</v>
      </c>
      <c r="G121" s="3" t="s">
        <v>72</v>
      </c>
      <c r="H121" s="3" t="s">
        <v>73</v>
      </c>
      <c r="I121" s="3" t="s">
        <v>74</v>
      </c>
      <c r="J121" s="3" t="s">
        <v>75</v>
      </c>
      <c r="K121" s="3" t="s">
        <v>76</v>
      </c>
      <c r="L121" s="3" t="s">
        <v>77</v>
      </c>
      <c r="M121" s="3" t="s">
        <v>78</v>
      </c>
      <c r="N121" s="3">
        <v>5</v>
      </c>
      <c r="O121" s="9">
        <v>5000</v>
      </c>
      <c r="P121" s="10">
        <v>1403</v>
      </c>
      <c r="Q121" s="10">
        <v>1073</v>
      </c>
      <c r="R121" s="11">
        <f>P121-Q121</f>
        <v>330</v>
      </c>
      <c r="S121" s="12">
        <f>R121/P121</f>
        <v>0.23521026372059872</v>
      </c>
      <c r="T121" s="3">
        <v>2</v>
      </c>
      <c r="U121" s="3">
        <v>2</v>
      </c>
      <c r="V121" s="3" t="str">
        <f>IF(U121&lt;=T121+1,"On-Time","Late")</f>
        <v>On-Time</v>
      </c>
      <c r="W121" s="3" t="s">
        <v>79</v>
      </c>
      <c r="X121" s="3" t="s">
        <v>80</v>
      </c>
      <c r="Y121" s="3" t="s">
        <v>137</v>
      </c>
    </row>
    <row r="122" spans="1:25">
      <c r="A122" s="3" t="s">
        <v>267</v>
      </c>
      <c r="B122" s="8">
        <v>46056</v>
      </c>
      <c r="C122" s="8">
        <v>46063</v>
      </c>
      <c r="D122" s="8">
        <v>46065</v>
      </c>
      <c r="E122" s="3" t="s">
        <v>103</v>
      </c>
      <c r="F122" s="3" t="s">
        <v>149</v>
      </c>
      <c r="G122" s="3" t="s">
        <v>104</v>
      </c>
      <c r="H122" s="3" t="s">
        <v>105</v>
      </c>
      <c r="I122" s="3" t="s">
        <v>106</v>
      </c>
      <c r="J122" s="3" t="s">
        <v>107</v>
      </c>
      <c r="K122" s="3" t="s">
        <v>123</v>
      </c>
      <c r="L122" s="3" t="s">
        <v>124</v>
      </c>
      <c r="M122" s="3" t="s">
        <v>110</v>
      </c>
      <c r="N122" s="3">
        <v>0.7</v>
      </c>
      <c r="O122" s="9">
        <v>700</v>
      </c>
      <c r="P122" s="10">
        <v>3595</v>
      </c>
      <c r="Q122" s="10">
        <v>2837</v>
      </c>
      <c r="R122" s="11">
        <f>P122-Q122</f>
        <v>758</v>
      </c>
      <c r="S122" s="12">
        <f>R122/P122</f>
        <v>0.21084840055632822</v>
      </c>
      <c r="T122" s="3">
        <v>2</v>
      </c>
      <c r="U122" s="3">
        <v>2</v>
      </c>
      <c r="V122" s="3" t="str">
        <f>IF(U122&lt;=T122+1,"On-Time","Late")</f>
        <v>On-Time</v>
      </c>
      <c r="W122" s="3" t="s">
        <v>79</v>
      </c>
      <c r="X122" s="3" t="s">
        <v>80</v>
      </c>
      <c r="Y122" s="3" t="s">
        <v>81</v>
      </c>
    </row>
    <row r="123" spans="1:25">
      <c r="A123" s="3" t="s">
        <v>268</v>
      </c>
      <c r="B123" s="8">
        <v>46165</v>
      </c>
      <c r="C123" s="8">
        <v>46175</v>
      </c>
      <c r="D123" s="8">
        <v>46177</v>
      </c>
      <c r="E123" s="3" t="s">
        <v>70</v>
      </c>
      <c r="F123" s="3" t="s">
        <v>149</v>
      </c>
      <c r="G123" s="3" t="s">
        <v>72</v>
      </c>
      <c r="H123" s="3" t="s">
        <v>73</v>
      </c>
      <c r="I123" s="3" t="s">
        <v>74</v>
      </c>
      <c r="J123" s="3" t="s">
        <v>75</v>
      </c>
      <c r="K123" s="3" t="s">
        <v>123</v>
      </c>
      <c r="L123" s="3" t="s">
        <v>124</v>
      </c>
      <c r="M123" s="3" t="s">
        <v>78</v>
      </c>
      <c r="N123" s="3">
        <v>12.7</v>
      </c>
      <c r="O123" s="9">
        <v>12700</v>
      </c>
      <c r="P123" s="10">
        <v>2106</v>
      </c>
      <c r="Q123" s="10">
        <v>1624</v>
      </c>
      <c r="R123" s="11">
        <f>P123-Q123</f>
        <v>482</v>
      </c>
      <c r="S123" s="12">
        <f>R123/P123</f>
        <v>0.2288698955365622</v>
      </c>
      <c r="T123" s="3">
        <v>2</v>
      </c>
      <c r="U123" s="3">
        <v>2</v>
      </c>
      <c r="V123" s="3" t="str">
        <f>IF(U123&lt;=T123+1,"On-Time","Late")</f>
        <v>On-Time</v>
      </c>
      <c r="W123" s="3" t="s">
        <v>196</v>
      </c>
      <c r="X123" s="3" t="s">
        <v>80</v>
      </c>
      <c r="Y123" s="3" t="s">
        <v>137</v>
      </c>
    </row>
    <row r="124" spans="1:25">
      <c r="A124" s="3" t="s">
        <v>269</v>
      </c>
      <c r="B124" s="8">
        <v>46056</v>
      </c>
      <c r="C124" s="8">
        <v>46066</v>
      </c>
      <c r="D124" s="8">
        <v>46073</v>
      </c>
      <c r="E124" s="3" t="s">
        <v>103</v>
      </c>
      <c r="F124" s="3" t="s">
        <v>71</v>
      </c>
      <c r="G124" s="3" t="s">
        <v>150</v>
      </c>
      <c r="H124" s="3" t="s">
        <v>119</v>
      </c>
      <c r="I124" s="3" t="s">
        <v>151</v>
      </c>
      <c r="J124" s="3" t="s">
        <v>121</v>
      </c>
      <c r="K124" s="3" t="s">
        <v>152</v>
      </c>
      <c r="L124" s="3" t="s">
        <v>153</v>
      </c>
      <c r="M124" s="3" t="s">
        <v>143</v>
      </c>
      <c r="N124" s="3">
        <v>4.5999999999999996</v>
      </c>
      <c r="O124" s="9">
        <v>4600</v>
      </c>
      <c r="P124" s="10">
        <v>24577</v>
      </c>
      <c r="Q124" s="10">
        <v>19298</v>
      </c>
      <c r="R124" s="11">
        <f>P124-Q124</f>
        <v>5279</v>
      </c>
      <c r="S124" s="12">
        <f>R124/P124</f>
        <v>0.21479431989258249</v>
      </c>
      <c r="T124" s="3">
        <v>3</v>
      </c>
      <c r="U124" s="3">
        <v>7</v>
      </c>
      <c r="V124" s="3" t="str">
        <f>IF(U124&lt;=T124+1,"On-Time","Late")</f>
        <v>Late</v>
      </c>
      <c r="W124" s="3" t="s">
        <v>79</v>
      </c>
      <c r="X124" s="3" t="s">
        <v>111</v>
      </c>
      <c r="Y124" s="3" t="s">
        <v>81</v>
      </c>
    </row>
    <row r="125" spans="1:25">
      <c r="A125" s="3" t="s">
        <v>270</v>
      </c>
      <c r="B125" s="8">
        <v>46036</v>
      </c>
      <c r="C125" s="8">
        <v>46046</v>
      </c>
      <c r="D125" s="8">
        <v>46062</v>
      </c>
      <c r="E125" s="3" t="s">
        <v>83</v>
      </c>
      <c r="F125" s="3" t="s">
        <v>96</v>
      </c>
      <c r="G125" s="3" t="s">
        <v>163</v>
      </c>
      <c r="H125" s="3" t="s">
        <v>99</v>
      </c>
      <c r="I125" s="3" t="s">
        <v>164</v>
      </c>
      <c r="J125" s="3" t="s">
        <v>101</v>
      </c>
      <c r="K125" s="3" t="s">
        <v>165</v>
      </c>
      <c r="L125" s="3" t="s">
        <v>166</v>
      </c>
      <c r="M125" s="3" t="s">
        <v>91</v>
      </c>
      <c r="N125" s="3">
        <v>2</v>
      </c>
      <c r="O125" s="9">
        <v>36918</v>
      </c>
      <c r="P125" s="10">
        <v>4898</v>
      </c>
      <c r="Q125" s="10">
        <v>4055</v>
      </c>
      <c r="R125" s="11">
        <f>P125-Q125</f>
        <v>843</v>
      </c>
      <c r="S125" s="12">
        <f>R125/P125</f>
        <v>0.17211106574111881</v>
      </c>
      <c r="T125" s="3">
        <v>15</v>
      </c>
      <c r="U125" s="3">
        <v>16</v>
      </c>
      <c r="V125" s="3" t="str">
        <f>IF(U125&lt;=T125+1,"On-Time","Late")</f>
        <v>On-Time</v>
      </c>
      <c r="W125" s="3" t="s">
        <v>79</v>
      </c>
      <c r="X125" s="3" t="s">
        <v>111</v>
      </c>
      <c r="Y125" s="3" t="s">
        <v>92</v>
      </c>
    </row>
    <row r="126" spans="1:25">
      <c r="A126" s="3" t="s">
        <v>271</v>
      </c>
      <c r="B126" s="8">
        <v>46101</v>
      </c>
      <c r="C126" s="8">
        <v>46113</v>
      </c>
      <c r="D126" s="8">
        <v>46116</v>
      </c>
      <c r="E126" s="3" t="s">
        <v>103</v>
      </c>
      <c r="F126" s="3" t="s">
        <v>71</v>
      </c>
      <c r="G126" s="3" t="s">
        <v>104</v>
      </c>
      <c r="H126" s="3" t="s">
        <v>105</v>
      </c>
      <c r="I126" s="3" t="s">
        <v>106</v>
      </c>
      <c r="J126" s="3" t="s">
        <v>107</v>
      </c>
      <c r="K126" s="3" t="s">
        <v>123</v>
      </c>
      <c r="L126" s="3" t="s">
        <v>124</v>
      </c>
      <c r="M126" s="3" t="s">
        <v>143</v>
      </c>
      <c r="N126" s="3">
        <v>1.6</v>
      </c>
      <c r="O126" s="9">
        <v>1600</v>
      </c>
      <c r="P126" s="10">
        <v>6038</v>
      </c>
      <c r="Q126" s="10">
        <v>4780</v>
      </c>
      <c r="R126" s="11">
        <f>P126-Q126</f>
        <v>1258</v>
      </c>
      <c r="S126" s="12">
        <f>R126/P126</f>
        <v>0.20834713481285194</v>
      </c>
      <c r="T126" s="3">
        <v>2</v>
      </c>
      <c r="U126" s="3">
        <v>3</v>
      </c>
      <c r="V126" s="3" t="str">
        <f>IF(U126&lt;=T126+1,"On-Time","Late")</f>
        <v>On-Time</v>
      </c>
      <c r="W126" s="3" t="s">
        <v>79</v>
      </c>
      <c r="X126" s="3" t="s">
        <v>80</v>
      </c>
      <c r="Y126" s="3" t="s">
        <v>117</v>
      </c>
    </row>
    <row r="127" spans="1:25">
      <c r="A127" s="3" t="s">
        <v>272</v>
      </c>
      <c r="B127" s="8">
        <v>46060</v>
      </c>
      <c r="C127" s="8">
        <v>46066</v>
      </c>
      <c r="D127" s="8">
        <v>46084</v>
      </c>
      <c r="E127" s="3" t="s">
        <v>83</v>
      </c>
      <c r="F127" s="3" t="s">
        <v>84</v>
      </c>
      <c r="G127" s="3" t="s">
        <v>140</v>
      </c>
      <c r="H127" s="3" t="s">
        <v>86</v>
      </c>
      <c r="I127" s="3" t="s">
        <v>141</v>
      </c>
      <c r="J127" s="3" t="s">
        <v>88</v>
      </c>
      <c r="K127" s="3" t="s">
        <v>156</v>
      </c>
      <c r="L127" s="3" t="s">
        <v>157</v>
      </c>
      <c r="M127" s="3" t="s">
        <v>136</v>
      </c>
      <c r="N127" s="3">
        <v>1</v>
      </c>
      <c r="O127" s="9">
        <v>9451</v>
      </c>
      <c r="P127" s="10">
        <v>2454</v>
      </c>
      <c r="Q127" s="10">
        <v>2035</v>
      </c>
      <c r="R127" s="11">
        <f>P127-Q127</f>
        <v>419</v>
      </c>
      <c r="S127" s="12">
        <f>R127/P127</f>
        <v>0.17074164629176855</v>
      </c>
      <c r="T127" s="3">
        <v>18</v>
      </c>
      <c r="U127" s="3">
        <v>18</v>
      </c>
      <c r="V127" s="3" t="str">
        <f>IF(U127&lt;=T127+1,"On-Time","Late")</f>
        <v>On-Time</v>
      </c>
      <c r="W127" s="3" t="s">
        <v>79</v>
      </c>
      <c r="X127" s="3" t="s">
        <v>111</v>
      </c>
      <c r="Y127" s="3" t="s">
        <v>92</v>
      </c>
    </row>
    <row r="128" spans="1:25">
      <c r="A128" s="3" t="s">
        <v>273</v>
      </c>
      <c r="B128" s="8">
        <v>46074</v>
      </c>
      <c r="C128" s="8">
        <v>46082</v>
      </c>
      <c r="D128" s="8">
        <v>46085</v>
      </c>
      <c r="E128" s="3" t="s">
        <v>103</v>
      </c>
      <c r="F128" s="3" t="s">
        <v>96</v>
      </c>
      <c r="G128" s="3" t="s">
        <v>104</v>
      </c>
      <c r="H128" s="3" t="s">
        <v>105</v>
      </c>
      <c r="I128" s="3" t="s">
        <v>106</v>
      </c>
      <c r="J128" s="3" t="s">
        <v>107</v>
      </c>
      <c r="K128" s="3" t="s">
        <v>113</v>
      </c>
      <c r="L128" s="3" t="s">
        <v>114</v>
      </c>
      <c r="M128" s="3" t="s">
        <v>110</v>
      </c>
      <c r="N128" s="3">
        <v>1.5</v>
      </c>
      <c r="O128" s="9">
        <v>1500</v>
      </c>
      <c r="P128" s="10">
        <v>7077</v>
      </c>
      <c r="Q128" s="10">
        <v>5557</v>
      </c>
      <c r="R128" s="11">
        <f>P128-Q128</f>
        <v>1520</v>
      </c>
      <c r="S128" s="12">
        <f>R128/P128</f>
        <v>0.21478027412745512</v>
      </c>
      <c r="T128" s="3">
        <v>2</v>
      </c>
      <c r="U128" s="3">
        <v>3</v>
      </c>
      <c r="V128" s="3" t="str">
        <f>IF(U128&lt;=T128+1,"On-Time","Late")</f>
        <v>On-Time</v>
      </c>
      <c r="W128" s="3" t="s">
        <v>79</v>
      </c>
      <c r="X128" s="3" t="s">
        <v>116</v>
      </c>
      <c r="Y128" s="3" t="s">
        <v>94</v>
      </c>
    </row>
    <row r="129" spans="1:25">
      <c r="A129" s="3" t="s">
        <v>274</v>
      </c>
      <c r="B129" s="8">
        <v>46059</v>
      </c>
      <c r="C129" s="8">
        <v>46066</v>
      </c>
      <c r="D129" s="8">
        <v>46080</v>
      </c>
      <c r="E129" s="3" t="s">
        <v>83</v>
      </c>
      <c r="F129" s="3" t="s">
        <v>96</v>
      </c>
      <c r="G129" s="3" t="s">
        <v>98</v>
      </c>
      <c r="H129" s="3" t="s">
        <v>99</v>
      </c>
      <c r="I129" s="3" t="s">
        <v>100</v>
      </c>
      <c r="J129" s="3" t="s">
        <v>101</v>
      </c>
      <c r="K129" s="3" t="s">
        <v>165</v>
      </c>
      <c r="L129" s="3" t="s">
        <v>166</v>
      </c>
      <c r="M129" s="3" t="s">
        <v>136</v>
      </c>
      <c r="N129" s="3">
        <v>1</v>
      </c>
      <c r="O129" s="9">
        <v>10718</v>
      </c>
      <c r="P129" s="10">
        <v>2312</v>
      </c>
      <c r="Q129" s="10">
        <v>1943</v>
      </c>
      <c r="R129" s="11">
        <f>P129-Q129</f>
        <v>369</v>
      </c>
      <c r="S129" s="12">
        <f>R129/P129</f>
        <v>0.15960207612456748</v>
      </c>
      <c r="T129" s="3">
        <v>14</v>
      </c>
      <c r="U129" s="3">
        <v>14</v>
      </c>
      <c r="V129" s="3" t="str">
        <f>IF(U129&lt;=T129+1,"On-Time","Late")</f>
        <v>On-Time</v>
      </c>
      <c r="W129" s="3" t="s">
        <v>79</v>
      </c>
      <c r="X129" s="3" t="s">
        <v>111</v>
      </c>
      <c r="Y129" s="3" t="s">
        <v>137</v>
      </c>
    </row>
    <row r="130" spans="1:25">
      <c r="A130" s="3" t="s">
        <v>275</v>
      </c>
      <c r="B130" s="8">
        <v>46047</v>
      </c>
      <c r="C130" s="8">
        <v>46057</v>
      </c>
      <c r="D130" s="8">
        <v>46072</v>
      </c>
      <c r="E130" s="3" t="s">
        <v>83</v>
      </c>
      <c r="F130" s="3" t="s">
        <v>96</v>
      </c>
      <c r="G130" s="3" t="s">
        <v>98</v>
      </c>
      <c r="H130" s="3" t="s">
        <v>99</v>
      </c>
      <c r="I130" s="3" t="s">
        <v>100</v>
      </c>
      <c r="J130" s="3" t="s">
        <v>101</v>
      </c>
      <c r="K130" s="3" t="s">
        <v>165</v>
      </c>
      <c r="L130" s="3" t="s">
        <v>166</v>
      </c>
      <c r="M130" s="3" t="s">
        <v>167</v>
      </c>
      <c r="N130" s="3">
        <v>2</v>
      </c>
      <c r="O130" s="9">
        <v>38836</v>
      </c>
      <c r="P130" s="10">
        <v>5734</v>
      </c>
      <c r="Q130" s="10">
        <v>4839</v>
      </c>
      <c r="R130" s="11">
        <f>P130-Q130</f>
        <v>895</v>
      </c>
      <c r="S130" s="12">
        <f>R130/P130</f>
        <v>0.15608650156958492</v>
      </c>
      <c r="T130" s="3">
        <v>14</v>
      </c>
      <c r="U130" s="3">
        <v>15</v>
      </c>
      <c r="V130" s="3" t="str">
        <f>IF(U130&lt;=T130+1,"On-Time","Late")</f>
        <v>On-Time</v>
      </c>
      <c r="W130" s="3" t="s">
        <v>79</v>
      </c>
      <c r="X130" s="3" t="s">
        <v>111</v>
      </c>
      <c r="Y130" s="3" t="s">
        <v>92</v>
      </c>
    </row>
    <row r="131" spans="1:25">
      <c r="A131" s="3" t="s">
        <v>276</v>
      </c>
      <c r="B131" s="8">
        <v>46096</v>
      </c>
      <c r="C131" s="8">
        <v>46107</v>
      </c>
      <c r="D131" s="8">
        <v>46123</v>
      </c>
      <c r="E131" s="3" t="s">
        <v>83</v>
      </c>
      <c r="F131" s="3" t="s">
        <v>96</v>
      </c>
      <c r="G131" s="3" t="s">
        <v>98</v>
      </c>
      <c r="H131" s="3" t="s">
        <v>99</v>
      </c>
      <c r="I131" s="3" t="s">
        <v>100</v>
      </c>
      <c r="J131" s="3" t="s">
        <v>101</v>
      </c>
      <c r="K131" s="3" t="s">
        <v>76</v>
      </c>
      <c r="L131" s="3" t="s">
        <v>77</v>
      </c>
      <c r="M131" s="3" t="s">
        <v>91</v>
      </c>
      <c r="N131" s="3">
        <v>1</v>
      </c>
      <c r="O131" s="9">
        <v>16603</v>
      </c>
      <c r="P131" s="10">
        <v>2364</v>
      </c>
      <c r="Q131" s="10">
        <v>2009</v>
      </c>
      <c r="R131" s="11">
        <f>P131-Q131</f>
        <v>355</v>
      </c>
      <c r="S131" s="12">
        <f>R131/P131</f>
        <v>0.15016920473773265</v>
      </c>
      <c r="T131" s="3">
        <v>14</v>
      </c>
      <c r="U131" s="3">
        <v>16</v>
      </c>
      <c r="V131" s="3" t="str">
        <f>IF(U131&lt;=T131+1,"On-Time","Late")</f>
        <v>Late</v>
      </c>
      <c r="W131" s="3" t="s">
        <v>79</v>
      </c>
      <c r="X131" s="3" t="s">
        <v>80</v>
      </c>
      <c r="Y131" s="3" t="s">
        <v>92</v>
      </c>
    </row>
    <row r="132" spans="1:25">
      <c r="A132" s="3" t="s">
        <v>277</v>
      </c>
      <c r="B132" s="8">
        <v>46148</v>
      </c>
      <c r="C132" s="8">
        <v>46158</v>
      </c>
      <c r="D132" s="8">
        <v>46176</v>
      </c>
      <c r="E132" s="3" t="s">
        <v>83</v>
      </c>
      <c r="F132" s="3" t="s">
        <v>96</v>
      </c>
      <c r="G132" s="3" t="s">
        <v>85</v>
      </c>
      <c r="H132" s="3" t="s">
        <v>86</v>
      </c>
      <c r="I132" s="3" t="s">
        <v>87</v>
      </c>
      <c r="J132" s="3" t="s">
        <v>88</v>
      </c>
      <c r="K132" s="3" t="s">
        <v>128</v>
      </c>
      <c r="L132" s="3" t="s">
        <v>129</v>
      </c>
      <c r="M132" s="3" t="s">
        <v>136</v>
      </c>
      <c r="N132" s="3">
        <v>2</v>
      </c>
      <c r="O132" s="9">
        <v>35274</v>
      </c>
      <c r="P132" s="10">
        <v>4618</v>
      </c>
      <c r="Q132" s="10">
        <v>4063</v>
      </c>
      <c r="R132" s="11">
        <f>P132-Q132</f>
        <v>555</v>
      </c>
      <c r="S132" s="12">
        <f>R132/P132</f>
        <v>0.12018189692507579</v>
      </c>
      <c r="T132" s="3">
        <v>18</v>
      </c>
      <c r="U132" s="3">
        <v>18</v>
      </c>
      <c r="V132" s="3" t="str">
        <f>IF(U132&lt;=T132+1,"On-Time","Late")</f>
        <v>On-Time</v>
      </c>
      <c r="W132" s="3" t="s">
        <v>79</v>
      </c>
      <c r="X132" s="3" t="s">
        <v>116</v>
      </c>
      <c r="Y132" s="3" t="s">
        <v>92</v>
      </c>
    </row>
    <row r="133" spans="1:25">
      <c r="A133" s="3" t="s">
        <v>278</v>
      </c>
      <c r="B133" s="8">
        <v>46128</v>
      </c>
      <c r="C133" s="8">
        <v>46139</v>
      </c>
      <c r="D133" s="8">
        <v>46158</v>
      </c>
      <c r="E133" s="3" t="s">
        <v>83</v>
      </c>
      <c r="F133" s="3" t="s">
        <v>84</v>
      </c>
      <c r="G133" s="3" t="s">
        <v>85</v>
      </c>
      <c r="H133" s="3" t="s">
        <v>86</v>
      </c>
      <c r="I133" s="3" t="s">
        <v>87</v>
      </c>
      <c r="J133" s="3" t="s">
        <v>88</v>
      </c>
      <c r="K133" s="3" t="s">
        <v>128</v>
      </c>
      <c r="L133" s="3" t="s">
        <v>129</v>
      </c>
      <c r="M133" s="3" t="s">
        <v>167</v>
      </c>
      <c r="N133" s="3">
        <v>1</v>
      </c>
      <c r="O133" s="9">
        <v>19690</v>
      </c>
      <c r="P133" s="10">
        <v>2988</v>
      </c>
      <c r="Q133" s="10">
        <v>2649</v>
      </c>
      <c r="R133" s="11">
        <f>P133-Q133</f>
        <v>339</v>
      </c>
      <c r="S133" s="12">
        <f>R133/P133</f>
        <v>0.11345381526104417</v>
      </c>
      <c r="T133" s="3">
        <v>18</v>
      </c>
      <c r="U133" s="3">
        <v>19</v>
      </c>
      <c r="V133" s="3" t="str">
        <f>IF(U133&lt;=T133+1,"On-Time","Late")</f>
        <v>On-Time</v>
      </c>
      <c r="W133" s="3" t="s">
        <v>79</v>
      </c>
      <c r="X133" s="3" t="s">
        <v>116</v>
      </c>
      <c r="Y133" s="3" t="s">
        <v>117</v>
      </c>
    </row>
    <row r="134" spans="1:25">
      <c r="A134" s="3" t="s">
        <v>279</v>
      </c>
      <c r="B134" s="8">
        <v>46069</v>
      </c>
      <c r="C134" s="8">
        <v>46080</v>
      </c>
      <c r="D134" s="8">
        <v>46082</v>
      </c>
      <c r="E134" s="3" t="s">
        <v>103</v>
      </c>
      <c r="F134" s="3" t="s">
        <v>96</v>
      </c>
      <c r="G134" s="3" t="s">
        <v>104</v>
      </c>
      <c r="H134" s="3" t="s">
        <v>105</v>
      </c>
      <c r="I134" s="3" t="s">
        <v>106</v>
      </c>
      <c r="J134" s="3" t="s">
        <v>107</v>
      </c>
      <c r="K134" s="3" t="s">
        <v>123</v>
      </c>
      <c r="L134" s="3" t="s">
        <v>124</v>
      </c>
      <c r="M134" s="3" t="s">
        <v>110</v>
      </c>
      <c r="N134" s="3">
        <v>4</v>
      </c>
      <c r="O134" s="9">
        <v>4000</v>
      </c>
      <c r="P134" s="10">
        <v>14500</v>
      </c>
      <c r="Q134" s="10">
        <v>11374</v>
      </c>
      <c r="R134" s="11">
        <f>P134-Q134</f>
        <v>3126</v>
      </c>
      <c r="S134" s="12">
        <f>R134/P134</f>
        <v>0.21558620689655172</v>
      </c>
      <c r="T134" s="3">
        <v>2</v>
      </c>
      <c r="U134" s="3">
        <v>2</v>
      </c>
      <c r="V134" s="3" t="str">
        <f>IF(U134&lt;=T134+1,"On-Time","Late")</f>
        <v>On-Time</v>
      </c>
      <c r="W134" s="3" t="s">
        <v>79</v>
      </c>
      <c r="X134" s="3" t="s">
        <v>80</v>
      </c>
      <c r="Y134" s="3" t="s">
        <v>81</v>
      </c>
    </row>
    <row r="135" spans="1:25">
      <c r="A135" s="3" t="s">
        <v>280</v>
      </c>
      <c r="B135" s="8">
        <v>46046</v>
      </c>
      <c r="C135" s="8">
        <v>46053</v>
      </c>
      <c r="D135" s="8">
        <v>46071</v>
      </c>
      <c r="E135" s="3" t="s">
        <v>83</v>
      </c>
      <c r="F135" s="3" t="s">
        <v>96</v>
      </c>
      <c r="G135" s="3" t="s">
        <v>140</v>
      </c>
      <c r="H135" s="3" t="s">
        <v>86</v>
      </c>
      <c r="I135" s="3" t="s">
        <v>141</v>
      </c>
      <c r="J135" s="3" t="s">
        <v>88</v>
      </c>
      <c r="K135" s="3" t="s">
        <v>156</v>
      </c>
      <c r="L135" s="3" t="s">
        <v>157</v>
      </c>
      <c r="M135" s="3" t="s">
        <v>91</v>
      </c>
      <c r="N135" s="3">
        <v>6</v>
      </c>
      <c r="O135" s="9">
        <v>120900</v>
      </c>
      <c r="P135" s="10">
        <v>18702</v>
      </c>
      <c r="Q135" s="10">
        <v>15484</v>
      </c>
      <c r="R135" s="11">
        <f>P135-Q135</f>
        <v>3218</v>
      </c>
      <c r="S135" s="12">
        <f>R135/P135</f>
        <v>0.17206715859266389</v>
      </c>
      <c r="T135" s="3">
        <v>18</v>
      </c>
      <c r="U135" s="3">
        <v>18</v>
      </c>
      <c r="V135" s="3" t="str">
        <f>IF(U135&lt;=T135+1,"On-Time","Late")</f>
        <v>On-Time</v>
      </c>
      <c r="W135" s="3" t="s">
        <v>79</v>
      </c>
      <c r="X135" s="3" t="s">
        <v>111</v>
      </c>
      <c r="Y135" s="3" t="s">
        <v>137</v>
      </c>
    </row>
    <row r="136" spans="1:25">
      <c r="A136" s="3" t="s">
        <v>281</v>
      </c>
      <c r="B136" s="8">
        <v>46083</v>
      </c>
      <c r="C136" s="8">
        <v>46092</v>
      </c>
      <c r="D136" s="8">
        <v>46096</v>
      </c>
      <c r="E136" s="3" t="s">
        <v>103</v>
      </c>
      <c r="F136" s="3" t="s">
        <v>149</v>
      </c>
      <c r="G136" s="3" t="s">
        <v>150</v>
      </c>
      <c r="H136" s="3" t="s">
        <v>119</v>
      </c>
      <c r="I136" s="3" t="s">
        <v>151</v>
      </c>
      <c r="J136" s="3" t="s">
        <v>121</v>
      </c>
      <c r="K136" s="3" t="s">
        <v>160</v>
      </c>
      <c r="L136" s="3" t="s">
        <v>161</v>
      </c>
      <c r="M136" s="3" t="s">
        <v>115</v>
      </c>
      <c r="N136" s="3">
        <v>1.4</v>
      </c>
      <c r="O136" s="9">
        <v>1400</v>
      </c>
      <c r="P136" s="10">
        <v>7379</v>
      </c>
      <c r="Q136" s="10">
        <v>5833</v>
      </c>
      <c r="R136" s="11">
        <f>P136-Q136</f>
        <v>1546</v>
      </c>
      <c r="S136" s="12">
        <f>R136/P136</f>
        <v>0.20951348421195284</v>
      </c>
      <c r="T136" s="3">
        <v>3</v>
      </c>
      <c r="U136" s="3">
        <v>4</v>
      </c>
      <c r="V136" s="3" t="str">
        <f>IF(U136&lt;=T136+1,"On-Time","Late")</f>
        <v>On-Time</v>
      </c>
      <c r="W136" s="3" t="s">
        <v>79</v>
      </c>
      <c r="X136" s="3" t="s">
        <v>116</v>
      </c>
      <c r="Y136" s="3" t="s">
        <v>92</v>
      </c>
    </row>
    <row r="137" spans="1:25">
      <c r="A137" s="3" t="s">
        <v>282</v>
      </c>
      <c r="B137" s="8">
        <v>46050</v>
      </c>
      <c r="C137" s="8">
        <v>46056</v>
      </c>
      <c r="D137" s="8">
        <v>46076</v>
      </c>
      <c r="E137" s="3" t="s">
        <v>83</v>
      </c>
      <c r="F137" s="3" t="s">
        <v>96</v>
      </c>
      <c r="G137" s="3" t="s">
        <v>126</v>
      </c>
      <c r="H137" s="3" t="s">
        <v>86</v>
      </c>
      <c r="I137" s="3" t="s">
        <v>127</v>
      </c>
      <c r="J137" s="3" t="s">
        <v>88</v>
      </c>
      <c r="K137" s="3" t="s">
        <v>156</v>
      </c>
      <c r="L137" s="3" t="s">
        <v>157</v>
      </c>
      <c r="M137" s="3" t="s">
        <v>136</v>
      </c>
      <c r="N137" s="3">
        <v>2</v>
      </c>
      <c r="O137" s="9">
        <v>23848</v>
      </c>
      <c r="P137" s="10">
        <v>5488</v>
      </c>
      <c r="Q137" s="10">
        <v>4606</v>
      </c>
      <c r="R137" s="11">
        <f>P137-Q137</f>
        <v>882</v>
      </c>
      <c r="S137" s="12">
        <f>R137/P137</f>
        <v>0.16071428571428573</v>
      </c>
      <c r="T137" s="3">
        <v>19</v>
      </c>
      <c r="U137" s="3">
        <v>20</v>
      </c>
      <c r="V137" s="3" t="str">
        <f>IF(U137&lt;=T137+1,"On-Time","Late")</f>
        <v>On-Time</v>
      </c>
      <c r="W137" s="3" t="s">
        <v>79</v>
      </c>
      <c r="X137" s="3" t="s">
        <v>111</v>
      </c>
      <c r="Y137" s="3" t="s">
        <v>137</v>
      </c>
    </row>
    <row r="138" spans="1:25">
      <c r="A138" s="3" t="s">
        <v>283</v>
      </c>
      <c r="B138" s="8">
        <v>46065</v>
      </c>
      <c r="C138" s="8">
        <v>46070</v>
      </c>
      <c r="D138" s="8">
        <v>46073</v>
      </c>
      <c r="E138" s="3" t="s">
        <v>103</v>
      </c>
      <c r="F138" s="3" t="s">
        <v>96</v>
      </c>
      <c r="G138" s="3" t="s">
        <v>132</v>
      </c>
      <c r="H138" s="3" t="s">
        <v>105</v>
      </c>
      <c r="I138" s="3" t="s">
        <v>133</v>
      </c>
      <c r="J138" s="3" t="s">
        <v>107</v>
      </c>
      <c r="K138" s="3" t="s">
        <v>113</v>
      </c>
      <c r="L138" s="3" t="s">
        <v>114</v>
      </c>
      <c r="M138" s="3" t="s">
        <v>110</v>
      </c>
      <c r="N138" s="3">
        <v>5.3</v>
      </c>
      <c r="O138" s="9">
        <v>5300</v>
      </c>
      <c r="P138" s="10">
        <v>22196</v>
      </c>
      <c r="Q138" s="10">
        <v>17191</v>
      </c>
      <c r="R138" s="11">
        <f>P138-Q138</f>
        <v>5005</v>
      </c>
      <c r="S138" s="12">
        <f>R138/P138</f>
        <v>0.22549107947377905</v>
      </c>
      <c r="T138" s="3">
        <v>2</v>
      </c>
      <c r="U138" s="3">
        <v>3</v>
      </c>
      <c r="V138" s="3" t="str">
        <f>IF(U138&lt;=T138+1,"On-Time","Late")</f>
        <v>On-Time</v>
      </c>
      <c r="W138" s="3" t="s">
        <v>79</v>
      </c>
      <c r="X138" s="3" t="s">
        <v>116</v>
      </c>
      <c r="Y138" s="3" t="s">
        <v>81</v>
      </c>
    </row>
    <row r="139" spans="1:25">
      <c r="A139" s="3" t="s">
        <v>284</v>
      </c>
      <c r="B139" s="8">
        <v>46147</v>
      </c>
      <c r="C139" s="8">
        <v>46153</v>
      </c>
      <c r="D139" s="8">
        <v>46172</v>
      </c>
      <c r="E139" s="3" t="s">
        <v>83</v>
      </c>
      <c r="F139" s="3" t="s">
        <v>96</v>
      </c>
      <c r="G139" s="3" t="s">
        <v>85</v>
      </c>
      <c r="H139" s="3" t="s">
        <v>86</v>
      </c>
      <c r="I139" s="3" t="s">
        <v>87</v>
      </c>
      <c r="J139" s="3" t="s">
        <v>88</v>
      </c>
      <c r="K139" s="3" t="s">
        <v>128</v>
      </c>
      <c r="L139" s="3" t="s">
        <v>129</v>
      </c>
      <c r="M139" s="3" t="s">
        <v>136</v>
      </c>
      <c r="N139" s="3">
        <v>4</v>
      </c>
      <c r="O139" s="9">
        <v>64968</v>
      </c>
      <c r="P139" s="10">
        <v>10868</v>
      </c>
      <c r="Q139" s="10">
        <v>9707</v>
      </c>
      <c r="R139" s="11">
        <f>P139-Q139</f>
        <v>1161</v>
      </c>
      <c r="S139" s="12">
        <f>R139/P139</f>
        <v>0.10682738314317261</v>
      </c>
      <c r="T139" s="3">
        <v>18</v>
      </c>
      <c r="U139" s="3">
        <v>19</v>
      </c>
      <c r="V139" s="3" t="str">
        <f>IF(U139&lt;=T139+1,"On-Time","Late")</f>
        <v>On-Time</v>
      </c>
      <c r="W139" s="3" t="s">
        <v>79</v>
      </c>
      <c r="X139" s="3" t="s">
        <v>116</v>
      </c>
      <c r="Y139" s="3" t="s">
        <v>92</v>
      </c>
    </row>
    <row r="140" spans="1:25">
      <c r="A140" s="3" t="s">
        <v>285</v>
      </c>
      <c r="B140" s="8">
        <v>46034</v>
      </c>
      <c r="C140" s="8">
        <v>46039</v>
      </c>
      <c r="D140" s="8">
        <v>46057</v>
      </c>
      <c r="E140" s="3" t="s">
        <v>83</v>
      </c>
      <c r="F140" s="3" t="s">
        <v>84</v>
      </c>
      <c r="G140" s="3" t="s">
        <v>140</v>
      </c>
      <c r="H140" s="3" t="s">
        <v>86</v>
      </c>
      <c r="I140" s="3" t="s">
        <v>141</v>
      </c>
      <c r="J140" s="3" t="s">
        <v>88</v>
      </c>
      <c r="K140" s="3" t="s">
        <v>152</v>
      </c>
      <c r="L140" s="3" t="s">
        <v>153</v>
      </c>
      <c r="M140" s="3" t="s">
        <v>130</v>
      </c>
      <c r="N140" s="3">
        <v>4</v>
      </c>
      <c r="O140" s="9">
        <v>70112</v>
      </c>
      <c r="P140" s="10">
        <v>9896</v>
      </c>
      <c r="Q140" s="10">
        <v>8253</v>
      </c>
      <c r="R140" s="11">
        <f>P140-Q140</f>
        <v>1643</v>
      </c>
      <c r="S140" s="12">
        <f>R140/P140</f>
        <v>0.16602667744543251</v>
      </c>
      <c r="T140" s="3">
        <v>18</v>
      </c>
      <c r="U140" s="3">
        <v>18</v>
      </c>
      <c r="V140" s="3" t="str">
        <f>IF(U140&lt;=T140+1,"On-Time","Late")</f>
        <v>On-Time</v>
      </c>
      <c r="W140" s="3" t="s">
        <v>79</v>
      </c>
      <c r="X140" s="3" t="s">
        <v>111</v>
      </c>
      <c r="Y140" s="3" t="s">
        <v>94</v>
      </c>
    </row>
    <row r="141" spans="1:25">
      <c r="A141" s="3" t="s">
        <v>286</v>
      </c>
      <c r="B141" s="8">
        <v>46035</v>
      </c>
      <c r="C141" s="8">
        <v>46044</v>
      </c>
      <c r="D141" s="8">
        <v>46063</v>
      </c>
      <c r="E141" s="3" t="s">
        <v>83</v>
      </c>
      <c r="F141" s="3" t="s">
        <v>96</v>
      </c>
      <c r="G141" s="3" t="s">
        <v>140</v>
      </c>
      <c r="H141" s="3" t="s">
        <v>86</v>
      </c>
      <c r="I141" s="3" t="s">
        <v>141</v>
      </c>
      <c r="J141" s="3" t="s">
        <v>88</v>
      </c>
      <c r="K141" s="3" t="s">
        <v>152</v>
      </c>
      <c r="L141" s="3" t="s">
        <v>153</v>
      </c>
      <c r="M141" s="3" t="s">
        <v>91</v>
      </c>
      <c r="N141" s="3">
        <v>2</v>
      </c>
      <c r="O141" s="9">
        <v>30632</v>
      </c>
      <c r="P141" s="10">
        <v>6224</v>
      </c>
      <c r="Q141" s="10">
        <v>5279</v>
      </c>
      <c r="R141" s="11">
        <f>P141-Q141</f>
        <v>945</v>
      </c>
      <c r="S141" s="12">
        <f>R141/P141</f>
        <v>0.15183161953727506</v>
      </c>
      <c r="T141" s="3">
        <v>18</v>
      </c>
      <c r="U141" s="3">
        <v>19</v>
      </c>
      <c r="V141" s="3" t="str">
        <f>IF(U141&lt;=T141+1,"On-Time","Late")</f>
        <v>On-Time</v>
      </c>
      <c r="W141" s="3" t="s">
        <v>79</v>
      </c>
      <c r="X141" s="3" t="s">
        <v>111</v>
      </c>
      <c r="Y141" s="3" t="s">
        <v>92</v>
      </c>
    </row>
    <row r="142" spans="1:25">
      <c r="A142" s="3" t="s">
        <v>287</v>
      </c>
      <c r="B142" s="8">
        <v>46027</v>
      </c>
      <c r="C142" s="8">
        <v>46038</v>
      </c>
      <c r="D142" s="8">
        <v>46056</v>
      </c>
      <c r="E142" s="3" t="s">
        <v>83</v>
      </c>
      <c r="F142" s="3" t="s">
        <v>84</v>
      </c>
      <c r="G142" s="3" t="s">
        <v>85</v>
      </c>
      <c r="H142" s="3" t="s">
        <v>86</v>
      </c>
      <c r="I142" s="3" t="s">
        <v>87</v>
      </c>
      <c r="J142" s="3" t="s">
        <v>88</v>
      </c>
      <c r="K142" s="3" t="s">
        <v>156</v>
      </c>
      <c r="L142" s="3" t="s">
        <v>157</v>
      </c>
      <c r="M142" s="3" t="s">
        <v>136</v>
      </c>
      <c r="N142" s="3">
        <v>1</v>
      </c>
      <c r="O142" s="9">
        <v>12420</v>
      </c>
      <c r="P142" s="10">
        <v>2751</v>
      </c>
      <c r="Q142" s="10">
        <v>2292</v>
      </c>
      <c r="R142" s="11">
        <f>P142-Q142</f>
        <v>459</v>
      </c>
      <c r="S142" s="12">
        <f>R142/P142</f>
        <v>0.16684841875681569</v>
      </c>
      <c r="T142" s="3">
        <v>18</v>
      </c>
      <c r="U142" s="3">
        <v>18</v>
      </c>
      <c r="V142" s="3" t="str">
        <f>IF(U142&lt;=T142+1,"On-Time","Late")</f>
        <v>On-Time</v>
      </c>
      <c r="W142" s="3" t="s">
        <v>79</v>
      </c>
      <c r="X142" s="3" t="s">
        <v>111</v>
      </c>
      <c r="Y142" s="3" t="s">
        <v>81</v>
      </c>
    </row>
    <row r="143" spans="1:25">
      <c r="A143" s="3" t="s">
        <v>288</v>
      </c>
      <c r="B143" s="8">
        <v>46091</v>
      </c>
      <c r="C143" s="8">
        <v>46105</v>
      </c>
      <c r="D143" s="8">
        <v>46124</v>
      </c>
      <c r="E143" s="3" t="s">
        <v>83</v>
      </c>
      <c r="F143" s="3" t="s">
        <v>96</v>
      </c>
      <c r="G143" s="3" t="s">
        <v>126</v>
      </c>
      <c r="H143" s="3" t="s">
        <v>86</v>
      </c>
      <c r="I143" s="3" t="s">
        <v>127</v>
      </c>
      <c r="J143" s="3" t="s">
        <v>88</v>
      </c>
      <c r="K143" s="3" t="s">
        <v>160</v>
      </c>
      <c r="L143" s="3" t="s">
        <v>161</v>
      </c>
      <c r="M143" s="3" t="s">
        <v>91</v>
      </c>
      <c r="N143" s="3">
        <v>3</v>
      </c>
      <c r="O143" s="9">
        <v>29937</v>
      </c>
      <c r="P143" s="10">
        <v>7869</v>
      </c>
      <c r="Q143" s="10">
        <v>6439</v>
      </c>
      <c r="R143" s="11">
        <f>P143-Q143</f>
        <v>1430</v>
      </c>
      <c r="S143" s="12">
        <f>R143/P143</f>
        <v>0.18172575930867962</v>
      </c>
      <c r="T143" s="3">
        <v>19</v>
      </c>
      <c r="U143" s="3">
        <v>19</v>
      </c>
      <c r="V143" s="3" t="str">
        <f>IF(U143&lt;=T143+1,"On-Time","Late")</f>
        <v>On-Time</v>
      </c>
      <c r="W143" s="3" t="s">
        <v>79</v>
      </c>
      <c r="X143" s="3" t="s">
        <v>116</v>
      </c>
      <c r="Y143" s="3" t="s">
        <v>92</v>
      </c>
    </row>
    <row r="144" spans="1:25">
      <c r="A144" s="3" t="s">
        <v>289</v>
      </c>
      <c r="B144" s="8">
        <v>46020</v>
      </c>
      <c r="C144" s="8">
        <v>46027</v>
      </c>
      <c r="D144" s="8">
        <v>46030</v>
      </c>
      <c r="E144" s="3" t="s">
        <v>70</v>
      </c>
      <c r="F144" s="3" t="s">
        <v>71</v>
      </c>
      <c r="G144" s="3" t="s">
        <v>72</v>
      </c>
      <c r="H144" s="3" t="s">
        <v>73</v>
      </c>
      <c r="I144" s="3" t="s">
        <v>74</v>
      </c>
      <c r="J144" s="3" t="s">
        <v>75</v>
      </c>
      <c r="K144" s="3" t="s">
        <v>76</v>
      </c>
      <c r="L144" s="3" t="s">
        <v>77</v>
      </c>
      <c r="M144" s="3" t="s">
        <v>78</v>
      </c>
      <c r="N144" s="3">
        <v>6.1</v>
      </c>
      <c r="O144" s="9">
        <v>6100</v>
      </c>
      <c r="P144" s="10">
        <v>1509</v>
      </c>
      <c r="Q144" s="10">
        <v>1135</v>
      </c>
      <c r="R144" s="11">
        <f>P144-Q144</f>
        <v>374</v>
      </c>
      <c r="S144" s="12">
        <f>R144/P144</f>
        <v>0.24784625579854208</v>
      </c>
      <c r="T144" s="3">
        <v>2</v>
      </c>
      <c r="U144" s="3">
        <v>3</v>
      </c>
      <c r="V144" s="3" t="str">
        <f>IF(U144&lt;=T144+1,"On-Time","Late")</f>
        <v>On-Time</v>
      </c>
      <c r="W144" s="3" t="s">
        <v>79</v>
      </c>
      <c r="X144" s="3" t="s">
        <v>80</v>
      </c>
      <c r="Y144" s="3" t="s">
        <v>92</v>
      </c>
    </row>
    <row r="145" spans="1:25">
      <c r="A145" s="3" t="s">
        <v>290</v>
      </c>
      <c r="B145" s="8">
        <v>46144</v>
      </c>
      <c r="C145" s="8">
        <v>46154</v>
      </c>
      <c r="D145" s="8">
        <v>46172</v>
      </c>
      <c r="E145" s="3" t="s">
        <v>83</v>
      </c>
      <c r="F145" s="3" t="s">
        <v>96</v>
      </c>
      <c r="G145" s="3" t="s">
        <v>85</v>
      </c>
      <c r="H145" s="3" t="s">
        <v>86</v>
      </c>
      <c r="I145" s="3" t="s">
        <v>87</v>
      </c>
      <c r="J145" s="3" t="s">
        <v>88</v>
      </c>
      <c r="K145" s="3" t="s">
        <v>89</v>
      </c>
      <c r="L145" s="3" t="s">
        <v>90</v>
      </c>
      <c r="M145" s="3" t="s">
        <v>91</v>
      </c>
      <c r="N145" s="3">
        <v>4</v>
      </c>
      <c r="O145" s="9">
        <v>72444</v>
      </c>
      <c r="P145" s="10">
        <v>11916</v>
      </c>
      <c r="Q145" s="10">
        <v>10498</v>
      </c>
      <c r="R145" s="11">
        <f>P145-Q145</f>
        <v>1418</v>
      </c>
      <c r="S145" s="12">
        <f>R145/P145</f>
        <v>0.11899966431688486</v>
      </c>
      <c r="T145" s="3">
        <v>18</v>
      </c>
      <c r="U145" s="3">
        <v>18</v>
      </c>
      <c r="V145" s="3" t="str">
        <f>IF(U145&lt;=T145+1,"On-Time","Late")</f>
        <v>On-Time</v>
      </c>
      <c r="W145" s="3" t="s">
        <v>79</v>
      </c>
      <c r="X145" s="3" t="s">
        <v>80</v>
      </c>
      <c r="Y145" s="3" t="s">
        <v>117</v>
      </c>
    </row>
    <row r="146" spans="1:25">
      <c r="A146" s="3" t="s">
        <v>291</v>
      </c>
      <c r="B146" s="8">
        <v>46041</v>
      </c>
      <c r="C146" s="8">
        <v>46052</v>
      </c>
      <c r="D146" s="8">
        <v>46056</v>
      </c>
      <c r="E146" s="3" t="s">
        <v>103</v>
      </c>
      <c r="F146" s="3" t="s">
        <v>96</v>
      </c>
      <c r="G146" s="3" t="s">
        <v>104</v>
      </c>
      <c r="H146" s="3" t="s">
        <v>105</v>
      </c>
      <c r="I146" s="3" t="s">
        <v>106</v>
      </c>
      <c r="J146" s="3" t="s">
        <v>107</v>
      </c>
      <c r="K146" s="3" t="s">
        <v>123</v>
      </c>
      <c r="L146" s="3" t="s">
        <v>124</v>
      </c>
      <c r="M146" s="3" t="s">
        <v>110</v>
      </c>
      <c r="N146" s="3">
        <v>1.1000000000000001</v>
      </c>
      <c r="O146" s="9">
        <v>1100</v>
      </c>
      <c r="P146" s="10">
        <v>5680</v>
      </c>
      <c r="Q146" s="10">
        <v>4550</v>
      </c>
      <c r="R146" s="11">
        <f>P146-Q146</f>
        <v>1130</v>
      </c>
      <c r="S146" s="12">
        <f>R146/P146</f>
        <v>0.198943661971831</v>
      </c>
      <c r="T146" s="3">
        <v>2</v>
      </c>
      <c r="U146" s="3">
        <v>4</v>
      </c>
      <c r="V146" s="3" t="str">
        <f>IF(U146&lt;=T146+1,"On-Time","Late")</f>
        <v>Late</v>
      </c>
      <c r="W146" s="3" t="s">
        <v>79</v>
      </c>
      <c r="X146" s="3" t="s">
        <v>80</v>
      </c>
      <c r="Y146" s="3" t="s">
        <v>117</v>
      </c>
    </row>
    <row r="147" spans="1:25">
      <c r="A147" s="3" t="s">
        <v>292</v>
      </c>
      <c r="B147" s="8">
        <v>46106</v>
      </c>
      <c r="C147" s="8">
        <v>46111</v>
      </c>
      <c r="D147" s="8">
        <v>46130</v>
      </c>
      <c r="E147" s="3" t="s">
        <v>83</v>
      </c>
      <c r="F147" s="3" t="s">
        <v>96</v>
      </c>
      <c r="G147" s="3" t="s">
        <v>140</v>
      </c>
      <c r="H147" s="3" t="s">
        <v>86</v>
      </c>
      <c r="I147" s="3" t="s">
        <v>141</v>
      </c>
      <c r="J147" s="3" t="s">
        <v>88</v>
      </c>
      <c r="K147" s="3" t="s">
        <v>89</v>
      </c>
      <c r="L147" s="3" t="s">
        <v>90</v>
      </c>
      <c r="M147" s="3" t="s">
        <v>91</v>
      </c>
      <c r="N147" s="3">
        <v>2</v>
      </c>
      <c r="O147" s="9">
        <v>19368</v>
      </c>
      <c r="P147" s="10">
        <v>6058</v>
      </c>
      <c r="Q147" s="10">
        <v>5074</v>
      </c>
      <c r="R147" s="11">
        <f>P147-Q147</f>
        <v>984</v>
      </c>
      <c r="S147" s="12">
        <f>R147/P147</f>
        <v>0.1624298448332783</v>
      </c>
      <c r="T147" s="3">
        <v>18</v>
      </c>
      <c r="U147" s="3">
        <v>19</v>
      </c>
      <c r="V147" s="3" t="str">
        <f>IF(U147&lt;=T147+1,"On-Time","Late")</f>
        <v>On-Time</v>
      </c>
      <c r="W147" s="3" t="s">
        <v>79</v>
      </c>
      <c r="X147" s="3" t="s">
        <v>80</v>
      </c>
      <c r="Y147" s="3" t="s">
        <v>117</v>
      </c>
    </row>
    <row r="148" spans="1:25">
      <c r="A148" s="3" t="s">
        <v>293</v>
      </c>
      <c r="B148" s="8">
        <v>46079</v>
      </c>
      <c r="C148" s="8">
        <v>46087</v>
      </c>
      <c r="D148" s="8">
        <v>46090</v>
      </c>
      <c r="E148" s="3" t="s">
        <v>70</v>
      </c>
      <c r="F148" s="3" t="s">
        <v>71</v>
      </c>
      <c r="G148" s="3" t="s">
        <v>72</v>
      </c>
      <c r="H148" s="3" t="s">
        <v>73</v>
      </c>
      <c r="I148" s="3" t="s">
        <v>74</v>
      </c>
      <c r="J148" s="3" t="s">
        <v>75</v>
      </c>
      <c r="K148" s="3" t="s">
        <v>76</v>
      </c>
      <c r="L148" s="3" t="s">
        <v>77</v>
      </c>
      <c r="M148" s="3" t="s">
        <v>78</v>
      </c>
      <c r="N148" s="3">
        <v>12.9</v>
      </c>
      <c r="O148" s="9">
        <v>12900</v>
      </c>
      <c r="P148" s="10">
        <v>1015</v>
      </c>
      <c r="Q148" s="10">
        <v>799</v>
      </c>
      <c r="R148" s="11">
        <f>P148-Q148</f>
        <v>216</v>
      </c>
      <c r="S148" s="12">
        <f>R148/P148</f>
        <v>0.21280788177339902</v>
      </c>
      <c r="T148" s="3">
        <v>2</v>
      </c>
      <c r="U148" s="3">
        <v>3</v>
      </c>
      <c r="V148" s="3" t="str">
        <f>IF(U148&lt;=T148+1,"On-Time","Late")</f>
        <v>On-Time</v>
      </c>
      <c r="W148" s="3" t="s">
        <v>79</v>
      </c>
      <c r="X148" s="3" t="s">
        <v>80</v>
      </c>
      <c r="Y148" s="3" t="s">
        <v>81</v>
      </c>
    </row>
    <row r="149" spans="1:25">
      <c r="A149" s="3" t="s">
        <v>294</v>
      </c>
      <c r="B149" s="8">
        <v>46037</v>
      </c>
      <c r="C149" s="8">
        <v>46047</v>
      </c>
      <c r="D149" s="8">
        <v>46050</v>
      </c>
      <c r="E149" s="3" t="s">
        <v>103</v>
      </c>
      <c r="F149" s="3" t="s">
        <v>71</v>
      </c>
      <c r="G149" s="3" t="s">
        <v>150</v>
      </c>
      <c r="H149" s="3" t="s">
        <v>119</v>
      </c>
      <c r="I149" s="3" t="s">
        <v>151</v>
      </c>
      <c r="J149" s="3" t="s">
        <v>121</v>
      </c>
      <c r="K149" s="3" t="s">
        <v>152</v>
      </c>
      <c r="L149" s="3" t="s">
        <v>153</v>
      </c>
      <c r="M149" s="3" t="s">
        <v>115</v>
      </c>
      <c r="N149" s="3">
        <v>2.1</v>
      </c>
      <c r="O149" s="9">
        <v>2100</v>
      </c>
      <c r="P149" s="10">
        <v>9601</v>
      </c>
      <c r="Q149" s="10">
        <v>7372</v>
      </c>
      <c r="R149" s="11">
        <f>P149-Q149</f>
        <v>2229</v>
      </c>
      <c r="S149" s="12">
        <f>R149/P149</f>
        <v>0.23216331632121653</v>
      </c>
      <c r="T149" s="3">
        <v>3</v>
      </c>
      <c r="U149" s="3">
        <v>3</v>
      </c>
      <c r="V149" s="3" t="str">
        <f>IF(U149&lt;=T149+1,"On-Time","Late")</f>
        <v>On-Time</v>
      </c>
      <c r="W149" s="3" t="s">
        <v>79</v>
      </c>
      <c r="X149" s="3" t="s">
        <v>111</v>
      </c>
      <c r="Y149" s="3" t="s">
        <v>137</v>
      </c>
    </row>
    <row r="150" spans="1:25">
      <c r="A150" s="3" t="s">
        <v>295</v>
      </c>
      <c r="B150" s="8">
        <v>46105</v>
      </c>
      <c r="C150" s="8">
        <v>46116</v>
      </c>
      <c r="D150" s="8">
        <v>46134</v>
      </c>
      <c r="E150" s="3" t="s">
        <v>83</v>
      </c>
      <c r="F150" s="3" t="s">
        <v>96</v>
      </c>
      <c r="G150" s="3" t="s">
        <v>140</v>
      </c>
      <c r="H150" s="3" t="s">
        <v>86</v>
      </c>
      <c r="I150" s="3" t="s">
        <v>141</v>
      </c>
      <c r="J150" s="3" t="s">
        <v>88</v>
      </c>
      <c r="K150" s="3" t="s">
        <v>152</v>
      </c>
      <c r="L150" s="3" t="s">
        <v>153</v>
      </c>
      <c r="M150" s="3" t="s">
        <v>130</v>
      </c>
      <c r="N150" s="3">
        <v>6</v>
      </c>
      <c r="O150" s="9">
        <v>73086</v>
      </c>
      <c r="P150" s="10">
        <v>14268</v>
      </c>
      <c r="Q150" s="10">
        <v>11939</v>
      </c>
      <c r="R150" s="11">
        <f>P150-Q150</f>
        <v>2329</v>
      </c>
      <c r="S150" s="12">
        <f>R150/P150</f>
        <v>0.16323240818615084</v>
      </c>
      <c r="T150" s="3">
        <v>18</v>
      </c>
      <c r="U150" s="3">
        <v>18</v>
      </c>
      <c r="V150" s="3" t="str">
        <f>IF(U150&lt;=T150+1,"On-Time","Late")</f>
        <v>On-Time</v>
      </c>
      <c r="W150" s="3" t="s">
        <v>79</v>
      </c>
      <c r="X150" s="3" t="s">
        <v>111</v>
      </c>
      <c r="Y150" s="3" t="s">
        <v>92</v>
      </c>
    </row>
    <row r="151" spans="1:25">
      <c r="A151" s="3" t="s">
        <v>296</v>
      </c>
      <c r="B151" s="8">
        <v>46055</v>
      </c>
      <c r="C151" s="8">
        <v>46066</v>
      </c>
      <c r="D151" s="8">
        <v>46070</v>
      </c>
      <c r="E151" s="3" t="s">
        <v>103</v>
      </c>
      <c r="F151" s="3" t="s">
        <v>71</v>
      </c>
      <c r="G151" s="3" t="s">
        <v>150</v>
      </c>
      <c r="H151" s="3" t="s">
        <v>119</v>
      </c>
      <c r="I151" s="3" t="s">
        <v>151</v>
      </c>
      <c r="J151" s="3" t="s">
        <v>121</v>
      </c>
      <c r="K151" s="3" t="s">
        <v>152</v>
      </c>
      <c r="L151" s="3" t="s">
        <v>153</v>
      </c>
      <c r="M151" s="3" t="s">
        <v>115</v>
      </c>
      <c r="N151" s="3">
        <v>2.2999999999999998</v>
      </c>
      <c r="O151" s="9">
        <v>2300</v>
      </c>
      <c r="P151" s="10">
        <v>9154</v>
      </c>
      <c r="Q151" s="10">
        <v>7217</v>
      </c>
      <c r="R151" s="11">
        <f>P151-Q151</f>
        <v>1937</v>
      </c>
      <c r="S151" s="12">
        <f>R151/P151</f>
        <v>0.21160148568931614</v>
      </c>
      <c r="T151" s="3">
        <v>3</v>
      </c>
      <c r="U151" s="3">
        <v>4</v>
      </c>
      <c r="V151" s="3" t="str">
        <f>IF(U151&lt;=T151+1,"On-Time","Late")</f>
        <v>On-Time</v>
      </c>
      <c r="W151" s="3" t="s">
        <v>79</v>
      </c>
      <c r="X151" s="3" t="s">
        <v>111</v>
      </c>
      <c r="Y151" s="3" t="s">
        <v>94</v>
      </c>
    </row>
    <row r="152" spans="1:25">
      <c r="A152" s="3" t="s">
        <v>297</v>
      </c>
      <c r="B152" s="8">
        <v>46018</v>
      </c>
      <c r="C152" s="8">
        <v>46031</v>
      </c>
      <c r="D152" s="8">
        <v>46033</v>
      </c>
      <c r="E152" s="3" t="s">
        <v>70</v>
      </c>
      <c r="F152" s="3" t="s">
        <v>71</v>
      </c>
      <c r="G152" s="3" t="s">
        <v>72</v>
      </c>
      <c r="H152" s="3" t="s">
        <v>73</v>
      </c>
      <c r="I152" s="3" t="s">
        <v>74</v>
      </c>
      <c r="J152" s="3" t="s">
        <v>75</v>
      </c>
      <c r="K152" s="3" t="s">
        <v>123</v>
      </c>
      <c r="L152" s="3" t="s">
        <v>124</v>
      </c>
      <c r="M152" s="3" t="s">
        <v>78</v>
      </c>
      <c r="N152" s="3">
        <v>13.4</v>
      </c>
      <c r="O152" s="9">
        <v>13400</v>
      </c>
      <c r="P152" s="10">
        <v>1768</v>
      </c>
      <c r="Q152" s="10">
        <v>1347</v>
      </c>
      <c r="R152" s="11">
        <f>P152-Q152</f>
        <v>421</v>
      </c>
      <c r="S152" s="12">
        <f>R152/P152</f>
        <v>0.23812217194570134</v>
      </c>
      <c r="T152" s="3">
        <v>2</v>
      </c>
      <c r="U152" s="3">
        <v>2</v>
      </c>
      <c r="V152" s="3" t="str">
        <f>IF(U152&lt;=T152+1,"On-Time","Late")</f>
        <v>On-Time</v>
      </c>
      <c r="W152" s="3" t="s">
        <v>79</v>
      </c>
      <c r="X152" s="3" t="s">
        <v>80</v>
      </c>
      <c r="Y152" s="3" t="s">
        <v>117</v>
      </c>
    </row>
    <row r="153" spans="1:25">
      <c r="A153" s="3" t="s">
        <v>298</v>
      </c>
      <c r="B153" s="8">
        <v>46129</v>
      </c>
      <c r="C153" s="8">
        <v>46143</v>
      </c>
      <c r="D153" s="8">
        <v>46145</v>
      </c>
      <c r="E153" s="3" t="s">
        <v>70</v>
      </c>
      <c r="F153" s="3" t="s">
        <v>96</v>
      </c>
      <c r="G153" s="3" t="s">
        <v>72</v>
      </c>
      <c r="H153" s="3" t="s">
        <v>73</v>
      </c>
      <c r="I153" s="3" t="s">
        <v>74</v>
      </c>
      <c r="J153" s="3" t="s">
        <v>75</v>
      </c>
      <c r="K153" s="3" t="s">
        <v>123</v>
      </c>
      <c r="L153" s="3" t="s">
        <v>124</v>
      </c>
      <c r="M153" s="3" t="s">
        <v>78</v>
      </c>
      <c r="N153" s="3">
        <v>5.6</v>
      </c>
      <c r="O153" s="9">
        <v>5600</v>
      </c>
      <c r="P153" s="10">
        <v>2348</v>
      </c>
      <c r="Q153" s="10">
        <v>1753</v>
      </c>
      <c r="R153" s="11">
        <f>P153-Q153</f>
        <v>595</v>
      </c>
      <c r="S153" s="12">
        <f>R153/P153</f>
        <v>0.25340715502555367</v>
      </c>
      <c r="T153" s="3">
        <v>2</v>
      </c>
      <c r="U153" s="3">
        <v>2</v>
      </c>
      <c r="V153" s="3" t="str">
        <f>IF(U153&lt;=T153+1,"On-Time","Late")</f>
        <v>On-Time</v>
      </c>
      <c r="W153" s="3" t="s">
        <v>79</v>
      </c>
      <c r="X153" s="3" t="s">
        <v>80</v>
      </c>
      <c r="Y153" s="3" t="s">
        <v>117</v>
      </c>
    </row>
    <row r="154" spans="1:25">
      <c r="A154" s="3" t="s">
        <v>299</v>
      </c>
      <c r="B154" s="8">
        <v>46165</v>
      </c>
      <c r="C154" s="8">
        <v>46173</v>
      </c>
      <c r="D154" s="8">
        <v>46178</v>
      </c>
      <c r="E154" s="3" t="s">
        <v>70</v>
      </c>
      <c r="F154" s="3" t="s">
        <v>96</v>
      </c>
      <c r="G154" s="3" t="s">
        <v>72</v>
      </c>
      <c r="H154" s="3" t="s">
        <v>73</v>
      </c>
      <c r="I154" s="3" t="s">
        <v>74</v>
      </c>
      <c r="J154" s="3" t="s">
        <v>75</v>
      </c>
      <c r="K154" s="3" t="s">
        <v>123</v>
      </c>
      <c r="L154" s="3" t="s">
        <v>124</v>
      </c>
      <c r="M154" s="3" t="s">
        <v>219</v>
      </c>
      <c r="N154" s="3">
        <v>3.6</v>
      </c>
      <c r="O154" s="9">
        <v>3600</v>
      </c>
      <c r="P154" s="10">
        <v>2489</v>
      </c>
      <c r="Q154" s="10">
        <v>1918</v>
      </c>
      <c r="R154" s="11">
        <f>P154-Q154</f>
        <v>571</v>
      </c>
      <c r="S154" s="12">
        <f>R154/P154</f>
        <v>0.22940940136601046</v>
      </c>
      <c r="T154" s="3">
        <v>2</v>
      </c>
      <c r="U154" s="3">
        <v>5</v>
      </c>
      <c r="V154" s="3" t="str">
        <f>IF(U154&lt;=T154+1,"On-Time","Late")</f>
        <v>Late</v>
      </c>
      <c r="W154" s="3" t="s">
        <v>134</v>
      </c>
      <c r="X154" s="3" t="s">
        <v>80</v>
      </c>
      <c r="Y154" s="3" t="s">
        <v>94</v>
      </c>
    </row>
    <row r="155" spans="1:25">
      <c r="A155" s="3" t="s">
        <v>300</v>
      </c>
      <c r="B155" s="8">
        <v>46078</v>
      </c>
      <c r="C155" s="8">
        <v>46086</v>
      </c>
      <c r="D155" s="8">
        <v>46090</v>
      </c>
      <c r="E155" s="3" t="s">
        <v>103</v>
      </c>
      <c r="F155" s="3" t="s">
        <v>96</v>
      </c>
      <c r="G155" s="3" t="s">
        <v>85</v>
      </c>
      <c r="H155" s="3" t="s">
        <v>119</v>
      </c>
      <c r="I155" s="3" t="s">
        <v>120</v>
      </c>
      <c r="J155" s="3" t="s">
        <v>121</v>
      </c>
      <c r="K155" s="3" t="s">
        <v>108</v>
      </c>
      <c r="L155" s="3" t="s">
        <v>109</v>
      </c>
      <c r="M155" s="3" t="s">
        <v>110</v>
      </c>
      <c r="N155" s="3">
        <v>5.2</v>
      </c>
      <c r="O155" s="9">
        <v>5200</v>
      </c>
      <c r="P155" s="10">
        <v>25370</v>
      </c>
      <c r="Q155" s="10">
        <v>19417</v>
      </c>
      <c r="R155" s="11">
        <f>P155-Q155</f>
        <v>5953</v>
      </c>
      <c r="S155" s="12">
        <f>R155/P155</f>
        <v>0.23464722112731573</v>
      </c>
      <c r="T155" s="3">
        <v>3</v>
      </c>
      <c r="U155" s="3">
        <v>4</v>
      </c>
      <c r="V155" s="3" t="str">
        <f>IF(U155&lt;=T155+1,"On-Time","Late")</f>
        <v>On-Time</v>
      </c>
      <c r="W155" s="3" t="s">
        <v>79</v>
      </c>
      <c r="X155" s="3" t="s">
        <v>111</v>
      </c>
      <c r="Y155" s="3" t="s">
        <v>117</v>
      </c>
    </row>
    <row r="156" spans="1:25">
      <c r="A156" s="3" t="s">
        <v>301</v>
      </c>
      <c r="B156" s="8">
        <v>46049</v>
      </c>
      <c r="C156" s="8">
        <v>46061</v>
      </c>
      <c r="D156" s="8">
        <v>46079</v>
      </c>
      <c r="E156" s="3" t="s">
        <v>83</v>
      </c>
      <c r="F156" s="3" t="s">
        <v>96</v>
      </c>
      <c r="G156" s="3" t="s">
        <v>85</v>
      </c>
      <c r="H156" s="3" t="s">
        <v>86</v>
      </c>
      <c r="I156" s="3" t="s">
        <v>87</v>
      </c>
      <c r="J156" s="3" t="s">
        <v>88</v>
      </c>
      <c r="K156" s="3" t="s">
        <v>156</v>
      </c>
      <c r="L156" s="3" t="s">
        <v>157</v>
      </c>
      <c r="M156" s="3" t="s">
        <v>130</v>
      </c>
      <c r="N156" s="3">
        <v>1</v>
      </c>
      <c r="O156" s="9">
        <v>16907</v>
      </c>
      <c r="P156" s="10">
        <v>2939</v>
      </c>
      <c r="Q156" s="10">
        <v>2526</v>
      </c>
      <c r="R156" s="11">
        <f>P156-Q156</f>
        <v>413</v>
      </c>
      <c r="S156" s="12">
        <f>R156/P156</f>
        <v>0.14052398775093569</v>
      </c>
      <c r="T156" s="3">
        <v>18</v>
      </c>
      <c r="U156" s="3">
        <v>18</v>
      </c>
      <c r="V156" s="3" t="str">
        <f>IF(U156&lt;=T156+1,"On-Time","Late")</f>
        <v>On-Time</v>
      </c>
      <c r="W156" s="3" t="s">
        <v>79</v>
      </c>
      <c r="X156" s="3" t="s">
        <v>111</v>
      </c>
      <c r="Y156" s="3" t="s">
        <v>94</v>
      </c>
    </row>
    <row r="157" spans="1:25">
      <c r="A157" s="3" t="s">
        <v>302</v>
      </c>
      <c r="B157" s="8">
        <v>46120</v>
      </c>
      <c r="C157" s="8">
        <v>46130</v>
      </c>
      <c r="D157" s="8">
        <v>46133</v>
      </c>
      <c r="E157" s="3" t="s">
        <v>103</v>
      </c>
      <c r="F157" s="3" t="s">
        <v>71</v>
      </c>
      <c r="G157" s="3" t="s">
        <v>150</v>
      </c>
      <c r="H157" s="3" t="s">
        <v>119</v>
      </c>
      <c r="I157" s="3" t="s">
        <v>151</v>
      </c>
      <c r="J157" s="3" t="s">
        <v>121</v>
      </c>
      <c r="K157" s="3" t="s">
        <v>160</v>
      </c>
      <c r="L157" s="3" t="s">
        <v>161</v>
      </c>
      <c r="M157" s="3" t="s">
        <v>110</v>
      </c>
      <c r="N157" s="3">
        <v>2.6</v>
      </c>
      <c r="O157" s="9">
        <v>2600</v>
      </c>
      <c r="P157" s="10">
        <v>12134</v>
      </c>
      <c r="Q157" s="10">
        <v>9657</v>
      </c>
      <c r="R157" s="11">
        <f>P157-Q157</f>
        <v>2477</v>
      </c>
      <c r="S157" s="12">
        <f>R157/P157</f>
        <v>0.20413713532223504</v>
      </c>
      <c r="T157" s="3">
        <v>3</v>
      </c>
      <c r="U157" s="3">
        <v>3</v>
      </c>
      <c r="V157" s="3" t="str">
        <f>IF(U157&lt;=T157+1,"On-Time","Late")</f>
        <v>On-Time</v>
      </c>
      <c r="W157" s="3" t="s">
        <v>79</v>
      </c>
      <c r="X157" s="3" t="s">
        <v>116</v>
      </c>
      <c r="Y157" s="3" t="s">
        <v>117</v>
      </c>
    </row>
    <row r="158" spans="1:25">
      <c r="A158" s="3" t="s">
        <v>303</v>
      </c>
      <c r="B158" s="8">
        <v>46152</v>
      </c>
      <c r="C158" s="8">
        <v>46158</v>
      </c>
      <c r="D158" s="8">
        <v>46178</v>
      </c>
      <c r="E158" s="3" t="s">
        <v>83</v>
      </c>
      <c r="F158" s="3" t="s">
        <v>84</v>
      </c>
      <c r="G158" s="3" t="s">
        <v>126</v>
      </c>
      <c r="H158" s="3" t="s">
        <v>86</v>
      </c>
      <c r="I158" s="3" t="s">
        <v>127</v>
      </c>
      <c r="J158" s="3" t="s">
        <v>88</v>
      </c>
      <c r="K158" s="3" t="s">
        <v>160</v>
      </c>
      <c r="L158" s="3" t="s">
        <v>161</v>
      </c>
      <c r="M158" s="3" t="s">
        <v>91</v>
      </c>
      <c r="N158" s="3">
        <v>2</v>
      </c>
      <c r="O158" s="9">
        <v>21740</v>
      </c>
      <c r="P158" s="10">
        <v>4914</v>
      </c>
      <c r="Q158" s="10">
        <v>4171</v>
      </c>
      <c r="R158" s="11">
        <f>P158-Q158</f>
        <v>743</v>
      </c>
      <c r="S158" s="12">
        <f>R158/P158</f>
        <v>0.15120065120065121</v>
      </c>
      <c r="T158" s="3">
        <v>19</v>
      </c>
      <c r="U158" s="3">
        <v>20</v>
      </c>
      <c r="V158" s="3" t="str">
        <f>IF(U158&lt;=T158+1,"On-Time","Late")</f>
        <v>On-Time</v>
      </c>
      <c r="W158" s="3" t="s">
        <v>79</v>
      </c>
      <c r="X158" s="3" t="s">
        <v>116</v>
      </c>
      <c r="Y158" s="3" t="s">
        <v>92</v>
      </c>
    </row>
    <row r="159" spans="1:25">
      <c r="A159" s="3" t="s">
        <v>304</v>
      </c>
      <c r="B159" s="8">
        <v>46148</v>
      </c>
      <c r="C159" s="8">
        <v>46155</v>
      </c>
      <c r="D159" s="8">
        <v>46175</v>
      </c>
      <c r="E159" s="3" t="s">
        <v>83</v>
      </c>
      <c r="F159" s="3" t="s">
        <v>84</v>
      </c>
      <c r="G159" s="3" t="s">
        <v>126</v>
      </c>
      <c r="H159" s="3" t="s">
        <v>86</v>
      </c>
      <c r="I159" s="3" t="s">
        <v>127</v>
      </c>
      <c r="J159" s="3" t="s">
        <v>88</v>
      </c>
      <c r="K159" s="3" t="s">
        <v>128</v>
      </c>
      <c r="L159" s="3" t="s">
        <v>129</v>
      </c>
      <c r="M159" s="3" t="s">
        <v>130</v>
      </c>
      <c r="N159" s="3">
        <v>2</v>
      </c>
      <c r="O159" s="9">
        <v>22944</v>
      </c>
      <c r="P159" s="10">
        <v>5342</v>
      </c>
      <c r="Q159" s="10">
        <v>4318</v>
      </c>
      <c r="R159" s="11">
        <f>P159-Q159</f>
        <v>1024</v>
      </c>
      <c r="S159" s="12">
        <f>R159/P159</f>
        <v>0.19168850617746164</v>
      </c>
      <c r="T159" s="3">
        <v>19</v>
      </c>
      <c r="U159" s="3">
        <v>20</v>
      </c>
      <c r="V159" s="3" t="str">
        <f>IF(U159&lt;=T159+1,"On-Time","Late")</f>
        <v>On-Time</v>
      </c>
      <c r="W159" s="3" t="s">
        <v>79</v>
      </c>
      <c r="X159" s="3" t="s">
        <v>116</v>
      </c>
      <c r="Y159" s="3" t="s">
        <v>137</v>
      </c>
    </row>
    <row r="160" spans="1:25">
      <c r="A160" s="3" t="s">
        <v>305</v>
      </c>
      <c r="B160" s="8">
        <v>46111</v>
      </c>
      <c r="C160" s="8">
        <v>46125</v>
      </c>
      <c r="D160" s="8">
        <v>46127</v>
      </c>
      <c r="E160" s="3" t="s">
        <v>70</v>
      </c>
      <c r="F160" s="3" t="s">
        <v>71</v>
      </c>
      <c r="G160" s="3" t="s">
        <v>72</v>
      </c>
      <c r="H160" s="3" t="s">
        <v>73</v>
      </c>
      <c r="I160" s="3" t="s">
        <v>74</v>
      </c>
      <c r="J160" s="3" t="s">
        <v>75</v>
      </c>
      <c r="K160" s="3" t="s">
        <v>123</v>
      </c>
      <c r="L160" s="3" t="s">
        <v>124</v>
      </c>
      <c r="M160" s="3" t="s">
        <v>219</v>
      </c>
      <c r="N160" s="3">
        <v>10.7</v>
      </c>
      <c r="O160" s="9">
        <v>10700</v>
      </c>
      <c r="P160" s="10">
        <v>1578</v>
      </c>
      <c r="Q160" s="10">
        <v>1215</v>
      </c>
      <c r="R160" s="11">
        <f>P160-Q160</f>
        <v>363</v>
      </c>
      <c r="S160" s="12">
        <f>R160/P160</f>
        <v>0.23003802281368821</v>
      </c>
      <c r="T160" s="3">
        <v>2</v>
      </c>
      <c r="U160" s="3">
        <v>2</v>
      </c>
      <c r="V160" s="3" t="str">
        <f>IF(U160&lt;=T160+1,"On-Time","Late")</f>
        <v>On-Time</v>
      </c>
      <c r="W160" s="3" t="s">
        <v>79</v>
      </c>
      <c r="X160" s="3" t="s">
        <v>80</v>
      </c>
      <c r="Y160" s="3" t="s">
        <v>94</v>
      </c>
    </row>
    <row r="161" spans="1:25">
      <c r="A161" s="3" t="s">
        <v>306</v>
      </c>
      <c r="B161" s="8">
        <v>46045</v>
      </c>
      <c r="C161" s="8">
        <v>46051</v>
      </c>
      <c r="D161" s="8">
        <v>46067</v>
      </c>
      <c r="E161" s="3" t="s">
        <v>83</v>
      </c>
      <c r="F161" s="3" t="s">
        <v>96</v>
      </c>
      <c r="G161" s="3" t="s">
        <v>163</v>
      </c>
      <c r="H161" s="3" t="s">
        <v>99</v>
      </c>
      <c r="I161" s="3" t="s">
        <v>164</v>
      </c>
      <c r="J161" s="3" t="s">
        <v>101</v>
      </c>
      <c r="K161" s="3" t="s">
        <v>76</v>
      </c>
      <c r="L161" s="3" t="s">
        <v>77</v>
      </c>
      <c r="M161" s="3" t="s">
        <v>136</v>
      </c>
      <c r="N161" s="3">
        <v>2</v>
      </c>
      <c r="O161" s="9">
        <v>33928</v>
      </c>
      <c r="P161" s="10">
        <v>5406</v>
      </c>
      <c r="Q161" s="10">
        <v>4385</v>
      </c>
      <c r="R161" s="11">
        <f>P161-Q161</f>
        <v>1021</v>
      </c>
      <c r="S161" s="12">
        <f>R161/P161</f>
        <v>0.18886422493525712</v>
      </c>
      <c r="T161" s="3">
        <v>15</v>
      </c>
      <c r="U161" s="3">
        <v>16</v>
      </c>
      <c r="V161" s="3" t="str">
        <f>IF(U161&lt;=T161+1,"On-Time","Late")</f>
        <v>On-Time</v>
      </c>
      <c r="W161" s="3" t="s">
        <v>79</v>
      </c>
      <c r="X161" s="3" t="s">
        <v>80</v>
      </c>
      <c r="Y161" s="3" t="s">
        <v>137</v>
      </c>
    </row>
    <row r="162" spans="1:25">
      <c r="A162" s="3" t="s">
        <v>307</v>
      </c>
      <c r="B162" s="8">
        <v>46025</v>
      </c>
      <c r="C162" s="8">
        <v>46038</v>
      </c>
      <c r="D162" s="8">
        <v>46054</v>
      </c>
      <c r="E162" s="3" t="s">
        <v>83</v>
      </c>
      <c r="F162" s="3" t="s">
        <v>84</v>
      </c>
      <c r="G162" s="3" t="s">
        <v>163</v>
      </c>
      <c r="H162" s="3" t="s">
        <v>99</v>
      </c>
      <c r="I162" s="3" t="s">
        <v>164</v>
      </c>
      <c r="J162" s="3" t="s">
        <v>101</v>
      </c>
      <c r="K162" s="3" t="s">
        <v>76</v>
      </c>
      <c r="L162" s="3" t="s">
        <v>77</v>
      </c>
      <c r="M162" s="3" t="s">
        <v>167</v>
      </c>
      <c r="N162" s="3">
        <v>1</v>
      </c>
      <c r="O162" s="9">
        <v>19538</v>
      </c>
      <c r="P162" s="10">
        <v>2465</v>
      </c>
      <c r="Q162" s="10">
        <v>2005</v>
      </c>
      <c r="R162" s="11">
        <f>P162-Q162</f>
        <v>460</v>
      </c>
      <c r="S162" s="12">
        <f>R162/P162</f>
        <v>0.18661257606490872</v>
      </c>
      <c r="T162" s="3">
        <v>15</v>
      </c>
      <c r="U162" s="3">
        <v>16</v>
      </c>
      <c r="V162" s="3" t="str">
        <f>IF(U162&lt;=T162+1,"On-Time","Late")</f>
        <v>On-Time</v>
      </c>
      <c r="W162" s="3" t="s">
        <v>79</v>
      </c>
      <c r="X162" s="3" t="s">
        <v>80</v>
      </c>
      <c r="Y162" s="3" t="s">
        <v>92</v>
      </c>
    </row>
    <row r="163" spans="1:25">
      <c r="A163" s="3" t="s">
        <v>308</v>
      </c>
      <c r="B163" s="8">
        <v>46129</v>
      </c>
      <c r="C163" s="8">
        <v>46134</v>
      </c>
      <c r="D163" s="8">
        <v>46136</v>
      </c>
      <c r="E163" s="3" t="s">
        <v>103</v>
      </c>
      <c r="F163" s="3" t="s">
        <v>96</v>
      </c>
      <c r="G163" s="3" t="s">
        <v>132</v>
      </c>
      <c r="H163" s="3" t="s">
        <v>105</v>
      </c>
      <c r="I163" s="3" t="s">
        <v>133</v>
      </c>
      <c r="J163" s="3" t="s">
        <v>107</v>
      </c>
      <c r="K163" s="3" t="s">
        <v>113</v>
      </c>
      <c r="L163" s="3" t="s">
        <v>114</v>
      </c>
      <c r="M163" s="3" t="s">
        <v>110</v>
      </c>
      <c r="N163" s="3">
        <v>3</v>
      </c>
      <c r="O163" s="9">
        <v>3000</v>
      </c>
      <c r="P163" s="10">
        <v>14199</v>
      </c>
      <c r="Q163" s="10">
        <v>11255</v>
      </c>
      <c r="R163" s="11">
        <f>P163-Q163</f>
        <v>2944</v>
      </c>
      <c r="S163" s="12">
        <f>R163/P163</f>
        <v>0.20733854496795548</v>
      </c>
      <c r="T163" s="3">
        <v>2</v>
      </c>
      <c r="U163" s="3">
        <v>2</v>
      </c>
      <c r="V163" s="3" t="str">
        <f>IF(U163&lt;=T163+1,"On-Time","Late")</f>
        <v>On-Time</v>
      </c>
      <c r="W163" s="3" t="s">
        <v>79</v>
      </c>
      <c r="X163" s="3" t="s">
        <v>116</v>
      </c>
      <c r="Y163" s="3" t="s">
        <v>137</v>
      </c>
    </row>
    <row r="164" spans="1:25">
      <c r="A164" s="3" t="s">
        <v>309</v>
      </c>
      <c r="B164" s="8">
        <v>46014</v>
      </c>
      <c r="C164" s="8">
        <v>46023</v>
      </c>
      <c r="D164" s="8">
        <v>46039</v>
      </c>
      <c r="E164" s="3" t="s">
        <v>83</v>
      </c>
      <c r="F164" s="3" t="s">
        <v>96</v>
      </c>
      <c r="G164" s="3" t="s">
        <v>163</v>
      </c>
      <c r="H164" s="3" t="s">
        <v>99</v>
      </c>
      <c r="I164" s="3" t="s">
        <v>164</v>
      </c>
      <c r="J164" s="3" t="s">
        <v>101</v>
      </c>
      <c r="K164" s="3" t="s">
        <v>76</v>
      </c>
      <c r="L164" s="3" t="s">
        <v>77</v>
      </c>
      <c r="M164" s="3" t="s">
        <v>167</v>
      </c>
      <c r="N164" s="3">
        <v>6</v>
      </c>
      <c r="O164" s="9">
        <v>103800</v>
      </c>
      <c r="P164" s="10">
        <v>19746</v>
      </c>
      <c r="Q164" s="10">
        <v>16976</v>
      </c>
      <c r="R164" s="11">
        <f>P164-Q164</f>
        <v>2770</v>
      </c>
      <c r="S164" s="12">
        <f>R164/P164</f>
        <v>0.14028157601539551</v>
      </c>
      <c r="T164" s="3">
        <v>15</v>
      </c>
      <c r="U164" s="3">
        <v>16</v>
      </c>
      <c r="V164" s="3" t="str">
        <f>IF(U164&lt;=T164+1,"On-Time","Late")</f>
        <v>On-Time</v>
      </c>
      <c r="W164" s="3" t="s">
        <v>79</v>
      </c>
      <c r="X164" s="3" t="s">
        <v>80</v>
      </c>
      <c r="Y164" s="3" t="s">
        <v>92</v>
      </c>
    </row>
    <row r="165" spans="1:25">
      <c r="A165" s="3" t="s">
        <v>310</v>
      </c>
      <c r="B165" s="8">
        <v>46146</v>
      </c>
      <c r="C165" s="8">
        <v>46159</v>
      </c>
      <c r="D165" s="8">
        <v>46162</v>
      </c>
      <c r="E165" s="3" t="s">
        <v>103</v>
      </c>
      <c r="F165" s="3" t="s">
        <v>149</v>
      </c>
      <c r="G165" s="3" t="s">
        <v>104</v>
      </c>
      <c r="H165" s="3" t="s">
        <v>105</v>
      </c>
      <c r="I165" s="3" t="s">
        <v>106</v>
      </c>
      <c r="J165" s="3" t="s">
        <v>107</v>
      </c>
      <c r="K165" s="3" t="s">
        <v>123</v>
      </c>
      <c r="L165" s="3" t="s">
        <v>124</v>
      </c>
      <c r="M165" s="3" t="s">
        <v>143</v>
      </c>
      <c r="N165" s="3">
        <v>3</v>
      </c>
      <c r="O165" s="9">
        <v>3000</v>
      </c>
      <c r="P165" s="10">
        <v>15816</v>
      </c>
      <c r="Q165" s="10">
        <v>12560</v>
      </c>
      <c r="R165" s="11">
        <f>P165-Q165</f>
        <v>3256</v>
      </c>
      <c r="S165" s="12">
        <f>R165/P165</f>
        <v>0.20586747597369753</v>
      </c>
      <c r="T165" s="3">
        <v>2</v>
      </c>
      <c r="U165" s="3">
        <v>3</v>
      </c>
      <c r="V165" s="3" t="str">
        <f>IF(U165&lt;=T165+1,"On-Time","Late")</f>
        <v>On-Time</v>
      </c>
      <c r="W165" s="3" t="s">
        <v>79</v>
      </c>
      <c r="X165" s="3" t="s">
        <v>80</v>
      </c>
      <c r="Y165" s="3" t="s">
        <v>117</v>
      </c>
    </row>
    <row r="166" spans="1:25">
      <c r="A166" s="3" t="s">
        <v>311</v>
      </c>
      <c r="B166" s="8">
        <v>46037</v>
      </c>
      <c r="C166" s="8">
        <v>46049</v>
      </c>
      <c r="D166" s="8">
        <v>46069</v>
      </c>
      <c r="E166" s="3" t="s">
        <v>83</v>
      </c>
      <c r="F166" s="3" t="s">
        <v>84</v>
      </c>
      <c r="G166" s="3" t="s">
        <v>126</v>
      </c>
      <c r="H166" s="3" t="s">
        <v>86</v>
      </c>
      <c r="I166" s="3" t="s">
        <v>127</v>
      </c>
      <c r="J166" s="3" t="s">
        <v>88</v>
      </c>
      <c r="K166" s="3" t="s">
        <v>160</v>
      </c>
      <c r="L166" s="3" t="s">
        <v>161</v>
      </c>
      <c r="M166" s="3" t="s">
        <v>130</v>
      </c>
      <c r="N166" s="3">
        <v>3</v>
      </c>
      <c r="O166" s="9">
        <v>40353</v>
      </c>
      <c r="P166" s="10">
        <v>9579</v>
      </c>
      <c r="Q166" s="10">
        <v>7905</v>
      </c>
      <c r="R166" s="11">
        <f>P166-Q166</f>
        <v>1674</v>
      </c>
      <c r="S166" s="12">
        <f>R166/P166</f>
        <v>0.17475728155339806</v>
      </c>
      <c r="T166" s="3">
        <v>19</v>
      </c>
      <c r="U166" s="3">
        <v>20</v>
      </c>
      <c r="V166" s="3" t="str">
        <f>IF(U166&lt;=T166+1,"On-Time","Late")</f>
        <v>On-Time</v>
      </c>
      <c r="W166" s="3" t="s">
        <v>79</v>
      </c>
      <c r="X166" s="3" t="s">
        <v>116</v>
      </c>
      <c r="Y166" s="3" t="s">
        <v>137</v>
      </c>
    </row>
    <row r="167" spans="1:25">
      <c r="A167" s="3" t="s">
        <v>312</v>
      </c>
      <c r="B167" s="8">
        <v>46025</v>
      </c>
      <c r="C167" s="8">
        <v>46034</v>
      </c>
      <c r="D167" s="8">
        <v>46036</v>
      </c>
      <c r="E167" s="3" t="s">
        <v>103</v>
      </c>
      <c r="F167" s="3" t="s">
        <v>149</v>
      </c>
      <c r="G167" s="3" t="s">
        <v>104</v>
      </c>
      <c r="H167" s="3" t="s">
        <v>105</v>
      </c>
      <c r="I167" s="3" t="s">
        <v>106</v>
      </c>
      <c r="J167" s="3" t="s">
        <v>107</v>
      </c>
      <c r="K167" s="3" t="s">
        <v>108</v>
      </c>
      <c r="L167" s="3" t="s">
        <v>109</v>
      </c>
      <c r="M167" s="3" t="s">
        <v>110</v>
      </c>
      <c r="N167" s="3">
        <v>3.9</v>
      </c>
      <c r="O167" s="9">
        <v>3900</v>
      </c>
      <c r="P167" s="10">
        <v>16465</v>
      </c>
      <c r="Q167" s="10">
        <v>13312</v>
      </c>
      <c r="R167" s="11">
        <f>P167-Q167</f>
        <v>3153</v>
      </c>
      <c r="S167" s="12">
        <f>R167/P167</f>
        <v>0.19149711509262071</v>
      </c>
      <c r="T167" s="3">
        <v>2</v>
      </c>
      <c r="U167" s="3">
        <v>2</v>
      </c>
      <c r="V167" s="3" t="str">
        <f>IF(U167&lt;=T167+1,"On-Time","Late")</f>
        <v>On-Time</v>
      </c>
      <c r="W167" s="3" t="s">
        <v>79</v>
      </c>
      <c r="X167" s="3" t="s">
        <v>111</v>
      </c>
      <c r="Y167" s="3" t="s">
        <v>117</v>
      </c>
    </row>
    <row r="168" spans="1:25">
      <c r="A168" s="3" t="s">
        <v>313</v>
      </c>
      <c r="B168" s="8">
        <v>46137</v>
      </c>
      <c r="C168" s="8">
        <v>46144</v>
      </c>
      <c r="D168" s="8">
        <v>46163</v>
      </c>
      <c r="E168" s="3" t="s">
        <v>83</v>
      </c>
      <c r="F168" s="3" t="s">
        <v>96</v>
      </c>
      <c r="G168" s="3" t="s">
        <v>140</v>
      </c>
      <c r="H168" s="3" t="s">
        <v>86</v>
      </c>
      <c r="I168" s="3" t="s">
        <v>141</v>
      </c>
      <c r="J168" s="3" t="s">
        <v>88</v>
      </c>
      <c r="K168" s="3" t="s">
        <v>152</v>
      </c>
      <c r="L168" s="3" t="s">
        <v>153</v>
      </c>
      <c r="M168" s="3" t="s">
        <v>91</v>
      </c>
      <c r="N168" s="3">
        <v>1</v>
      </c>
      <c r="O168" s="9">
        <v>20684</v>
      </c>
      <c r="P168" s="10">
        <v>2765</v>
      </c>
      <c r="Q168" s="10">
        <v>2318</v>
      </c>
      <c r="R168" s="11">
        <f>P168-Q168</f>
        <v>447</v>
      </c>
      <c r="S168" s="12">
        <f>R168/P168</f>
        <v>0.1616636528028933</v>
      </c>
      <c r="T168" s="3">
        <v>18</v>
      </c>
      <c r="U168" s="3">
        <v>19</v>
      </c>
      <c r="V168" s="3" t="str">
        <f>IF(U168&lt;=T168+1,"On-Time","Late")</f>
        <v>On-Time</v>
      </c>
      <c r="W168" s="3" t="s">
        <v>79</v>
      </c>
      <c r="X168" s="3" t="s">
        <v>111</v>
      </c>
      <c r="Y168" s="3" t="s">
        <v>92</v>
      </c>
    </row>
    <row r="169" spans="1:25">
      <c r="A169" s="3" t="s">
        <v>314</v>
      </c>
      <c r="B169" s="8">
        <v>46039</v>
      </c>
      <c r="C169" s="8">
        <v>46047</v>
      </c>
      <c r="D169" s="8">
        <v>46066</v>
      </c>
      <c r="E169" s="3" t="s">
        <v>83</v>
      </c>
      <c r="F169" s="3" t="s">
        <v>84</v>
      </c>
      <c r="G169" s="3" t="s">
        <v>85</v>
      </c>
      <c r="H169" s="3" t="s">
        <v>86</v>
      </c>
      <c r="I169" s="3" t="s">
        <v>87</v>
      </c>
      <c r="J169" s="3" t="s">
        <v>88</v>
      </c>
      <c r="K169" s="3" t="s">
        <v>128</v>
      </c>
      <c r="L169" s="3" t="s">
        <v>129</v>
      </c>
      <c r="M169" s="3" t="s">
        <v>147</v>
      </c>
      <c r="N169" s="3">
        <v>4</v>
      </c>
      <c r="O169" s="9">
        <v>46088</v>
      </c>
      <c r="P169" s="10">
        <v>10464</v>
      </c>
      <c r="Q169" s="10">
        <v>8875</v>
      </c>
      <c r="R169" s="11">
        <f>P169-Q169</f>
        <v>1589</v>
      </c>
      <c r="S169" s="12">
        <f>R169/P169</f>
        <v>0.15185397553516819</v>
      </c>
      <c r="T169" s="3">
        <v>18</v>
      </c>
      <c r="U169" s="3">
        <v>19</v>
      </c>
      <c r="V169" s="3" t="str">
        <f>IF(U169&lt;=T169+1,"On-Time","Late")</f>
        <v>On-Time</v>
      </c>
      <c r="W169" s="3" t="s">
        <v>79</v>
      </c>
      <c r="X169" s="3" t="s">
        <v>116</v>
      </c>
      <c r="Y169" s="3" t="s">
        <v>92</v>
      </c>
    </row>
    <row r="170" spans="1:25">
      <c r="A170" s="3" t="s">
        <v>315</v>
      </c>
      <c r="B170" s="8">
        <v>46014</v>
      </c>
      <c r="C170" s="8">
        <v>46025</v>
      </c>
      <c r="D170" s="8">
        <v>46044</v>
      </c>
      <c r="E170" s="3" t="s">
        <v>83</v>
      </c>
      <c r="F170" s="3" t="s">
        <v>96</v>
      </c>
      <c r="G170" s="3" t="s">
        <v>85</v>
      </c>
      <c r="H170" s="3" t="s">
        <v>86</v>
      </c>
      <c r="I170" s="3" t="s">
        <v>87</v>
      </c>
      <c r="J170" s="3" t="s">
        <v>88</v>
      </c>
      <c r="K170" s="3" t="s">
        <v>156</v>
      </c>
      <c r="L170" s="3" t="s">
        <v>157</v>
      </c>
      <c r="M170" s="3" t="s">
        <v>167</v>
      </c>
      <c r="N170" s="3">
        <v>1</v>
      </c>
      <c r="O170" s="9">
        <v>10486</v>
      </c>
      <c r="P170" s="10">
        <v>2864</v>
      </c>
      <c r="Q170" s="10">
        <v>2401</v>
      </c>
      <c r="R170" s="11">
        <f>P170-Q170</f>
        <v>463</v>
      </c>
      <c r="S170" s="12">
        <f>R170/P170</f>
        <v>0.16166201117318435</v>
      </c>
      <c r="T170" s="3">
        <v>18</v>
      </c>
      <c r="U170" s="3">
        <v>19</v>
      </c>
      <c r="V170" s="3" t="str">
        <f>IF(U170&lt;=T170+1,"On-Time","Late")</f>
        <v>On-Time</v>
      </c>
      <c r="W170" s="3" t="s">
        <v>79</v>
      </c>
      <c r="X170" s="3" t="s">
        <v>111</v>
      </c>
      <c r="Y170" s="3" t="s">
        <v>117</v>
      </c>
    </row>
    <row r="171" spans="1:25">
      <c r="A171" s="3" t="s">
        <v>316</v>
      </c>
      <c r="B171" s="8">
        <v>46057</v>
      </c>
      <c r="C171" s="8">
        <v>46063</v>
      </c>
      <c r="D171" s="8">
        <v>46081</v>
      </c>
      <c r="E171" s="3" t="s">
        <v>83</v>
      </c>
      <c r="F171" s="3" t="s">
        <v>84</v>
      </c>
      <c r="G171" s="3" t="s">
        <v>140</v>
      </c>
      <c r="H171" s="3" t="s">
        <v>86</v>
      </c>
      <c r="I171" s="3" t="s">
        <v>141</v>
      </c>
      <c r="J171" s="3" t="s">
        <v>88</v>
      </c>
      <c r="K171" s="3" t="s">
        <v>156</v>
      </c>
      <c r="L171" s="3" t="s">
        <v>157</v>
      </c>
      <c r="M171" s="3" t="s">
        <v>167</v>
      </c>
      <c r="N171" s="3">
        <v>4</v>
      </c>
      <c r="O171" s="9">
        <v>58452</v>
      </c>
      <c r="P171" s="10">
        <v>12232</v>
      </c>
      <c r="Q171" s="10">
        <v>9947</v>
      </c>
      <c r="R171" s="11">
        <f>P171-Q171</f>
        <v>2285</v>
      </c>
      <c r="S171" s="12">
        <f>R171/P171</f>
        <v>0.18680510137344669</v>
      </c>
      <c r="T171" s="3">
        <v>18</v>
      </c>
      <c r="U171" s="3">
        <v>18</v>
      </c>
      <c r="V171" s="3" t="str">
        <f>IF(U171&lt;=T171+1,"On-Time","Late")</f>
        <v>On-Time</v>
      </c>
      <c r="W171" s="3" t="s">
        <v>79</v>
      </c>
      <c r="X171" s="3" t="s">
        <v>111</v>
      </c>
      <c r="Y171" s="3" t="s">
        <v>81</v>
      </c>
    </row>
    <row r="172" spans="1:25">
      <c r="A172" s="3" t="s">
        <v>317</v>
      </c>
      <c r="B172" s="8">
        <v>46012</v>
      </c>
      <c r="C172" s="8">
        <v>46025</v>
      </c>
      <c r="D172" s="8">
        <v>46045</v>
      </c>
      <c r="E172" s="3" t="s">
        <v>83</v>
      </c>
      <c r="F172" s="3" t="s">
        <v>96</v>
      </c>
      <c r="G172" s="3" t="s">
        <v>126</v>
      </c>
      <c r="H172" s="3" t="s">
        <v>86</v>
      </c>
      <c r="I172" s="3" t="s">
        <v>127</v>
      </c>
      <c r="J172" s="3" t="s">
        <v>88</v>
      </c>
      <c r="K172" s="3" t="s">
        <v>156</v>
      </c>
      <c r="L172" s="3" t="s">
        <v>157</v>
      </c>
      <c r="M172" s="3" t="s">
        <v>130</v>
      </c>
      <c r="N172" s="3">
        <v>4</v>
      </c>
      <c r="O172" s="9">
        <v>58948</v>
      </c>
      <c r="P172" s="10">
        <v>11632</v>
      </c>
      <c r="Q172" s="10">
        <v>9594</v>
      </c>
      <c r="R172" s="11">
        <f>P172-Q172</f>
        <v>2038</v>
      </c>
      <c r="S172" s="12">
        <f>R172/P172</f>
        <v>0.17520632737276479</v>
      </c>
      <c r="T172" s="3">
        <v>19</v>
      </c>
      <c r="U172" s="3">
        <v>20</v>
      </c>
      <c r="V172" s="3" t="str">
        <f>IF(U172&lt;=T172+1,"On-Time","Late")</f>
        <v>On-Time</v>
      </c>
      <c r="W172" s="3" t="s">
        <v>79</v>
      </c>
      <c r="X172" s="3" t="s">
        <v>111</v>
      </c>
      <c r="Y172" s="3" t="s">
        <v>81</v>
      </c>
    </row>
    <row r="173" spans="1:25">
      <c r="A173" s="3" t="s">
        <v>318</v>
      </c>
      <c r="B173" s="8">
        <v>46011</v>
      </c>
      <c r="C173" s="8">
        <v>46025</v>
      </c>
      <c r="D173" s="8">
        <v>46043</v>
      </c>
      <c r="E173" s="3" t="s">
        <v>83</v>
      </c>
      <c r="F173" s="3" t="s">
        <v>84</v>
      </c>
      <c r="G173" s="3" t="s">
        <v>85</v>
      </c>
      <c r="H173" s="3" t="s">
        <v>86</v>
      </c>
      <c r="I173" s="3" t="s">
        <v>87</v>
      </c>
      <c r="J173" s="3" t="s">
        <v>88</v>
      </c>
      <c r="K173" s="3" t="s">
        <v>89</v>
      </c>
      <c r="L173" s="3" t="s">
        <v>90</v>
      </c>
      <c r="M173" s="3" t="s">
        <v>167</v>
      </c>
      <c r="N173" s="3">
        <v>2</v>
      </c>
      <c r="O173" s="9">
        <v>40746</v>
      </c>
      <c r="P173" s="10">
        <v>5742</v>
      </c>
      <c r="Q173" s="10">
        <v>4803</v>
      </c>
      <c r="R173" s="11">
        <f>P173-Q173</f>
        <v>939</v>
      </c>
      <c r="S173" s="12">
        <f>R173/P173</f>
        <v>0.16353187042842215</v>
      </c>
      <c r="T173" s="3">
        <v>18</v>
      </c>
      <c r="U173" s="3">
        <v>18</v>
      </c>
      <c r="V173" s="3" t="str">
        <f>IF(U173&lt;=T173+1,"On-Time","Late")</f>
        <v>On-Time</v>
      </c>
      <c r="W173" s="3" t="s">
        <v>79</v>
      </c>
      <c r="X173" s="3" t="s">
        <v>80</v>
      </c>
      <c r="Y173" s="3" t="s">
        <v>94</v>
      </c>
    </row>
    <row r="174" spans="1:25">
      <c r="A174" s="3" t="s">
        <v>319</v>
      </c>
      <c r="B174" s="8">
        <v>46106</v>
      </c>
      <c r="C174" s="8">
        <v>46118</v>
      </c>
      <c r="D174" s="8">
        <v>46134</v>
      </c>
      <c r="E174" s="3" t="s">
        <v>83</v>
      </c>
      <c r="F174" s="3" t="s">
        <v>84</v>
      </c>
      <c r="G174" s="3" t="s">
        <v>163</v>
      </c>
      <c r="H174" s="3" t="s">
        <v>99</v>
      </c>
      <c r="I174" s="3" t="s">
        <v>164</v>
      </c>
      <c r="J174" s="3" t="s">
        <v>101</v>
      </c>
      <c r="K174" s="3" t="s">
        <v>165</v>
      </c>
      <c r="L174" s="3" t="s">
        <v>166</v>
      </c>
      <c r="M174" s="3" t="s">
        <v>130</v>
      </c>
      <c r="N174" s="3">
        <v>3</v>
      </c>
      <c r="O174" s="9">
        <v>38355</v>
      </c>
      <c r="P174" s="10">
        <v>7287</v>
      </c>
      <c r="Q174" s="10">
        <v>6024</v>
      </c>
      <c r="R174" s="11">
        <f>P174-Q174</f>
        <v>1263</v>
      </c>
      <c r="S174" s="12">
        <f>R174/P174</f>
        <v>0.17332235487855085</v>
      </c>
      <c r="T174" s="3">
        <v>15</v>
      </c>
      <c r="U174" s="3">
        <v>16</v>
      </c>
      <c r="V174" s="3" t="str">
        <f>IF(U174&lt;=T174+1,"On-Time","Late")</f>
        <v>On-Time</v>
      </c>
      <c r="W174" s="3" t="s">
        <v>79</v>
      </c>
      <c r="X174" s="3" t="s">
        <v>111</v>
      </c>
      <c r="Y174" s="3" t="s">
        <v>92</v>
      </c>
    </row>
    <row r="175" spans="1:25">
      <c r="A175" s="3" t="s">
        <v>320</v>
      </c>
      <c r="B175" s="8">
        <v>46136</v>
      </c>
      <c r="C175" s="8">
        <v>46147</v>
      </c>
      <c r="D175" s="8">
        <v>46149</v>
      </c>
      <c r="E175" s="3" t="s">
        <v>70</v>
      </c>
      <c r="F175" s="3" t="s">
        <v>96</v>
      </c>
      <c r="G175" s="3" t="s">
        <v>72</v>
      </c>
      <c r="H175" s="3" t="s">
        <v>73</v>
      </c>
      <c r="I175" s="3" t="s">
        <v>74</v>
      </c>
      <c r="J175" s="3" t="s">
        <v>75</v>
      </c>
      <c r="K175" s="3" t="s">
        <v>76</v>
      </c>
      <c r="L175" s="3" t="s">
        <v>77</v>
      </c>
      <c r="M175" s="3" t="s">
        <v>78</v>
      </c>
      <c r="N175" s="3">
        <v>10.8</v>
      </c>
      <c r="O175" s="9">
        <v>10800</v>
      </c>
      <c r="P175" s="10">
        <v>1251</v>
      </c>
      <c r="Q175" s="10">
        <v>934</v>
      </c>
      <c r="R175" s="11">
        <f>P175-Q175</f>
        <v>317</v>
      </c>
      <c r="S175" s="12">
        <f>R175/P175</f>
        <v>0.25339728217426061</v>
      </c>
      <c r="T175" s="3">
        <v>2</v>
      </c>
      <c r="U175" s="3">
        <v>2</v>
      </c>
      <c r="V175" s="3" t="str">
        <f>IF(U175&lt;=T175+1,"On-Time","Late")</f>
        <v>On-Time</v>
      </c>
      <c r="W175" s="3" t="s">
        <v>79</v>
      </c>
      <c r="X175" s="3" t="s">
        <v>80</v>
      </c>
      <c r="Y175" s="3" t="s">
        <v>117</v>
      </c>
    </row>
    <row r="176" spans="1:25">
      <c r="A176" s="3" t="s">
        <v>321</v>
      </c>
      <c r="B176" s="8">
        <v>46073</v>
      </c>
      <c r="C176" s="8">
        <v>46083</v>
      </c>
      <c r="D176" s="8">
        <v>46099</v>
      </c>
      <c r="E176" s="3" t="s">
        <v>83</v>
      </c>
      <c r="F176" s="3" t="s">
        <v>96</v>
      </c>
      <c r="G176" s="3" t="s">
        <v>163</v>
      </c>
      <c r="H176" s="3" t="s">
        <v>99</v>
      </c>
      <c r="I176" s="3" t="s">
        <v>164</v>
      </c>
      <c r="J176" s="3" t="s">
        <v>101</v>
      </c>
      <c r="K176" s="3" t="s">
        <v>165</v>
      </c>
      <c r="L176" s="3" t="s">
        <v>166</v>
      </c>
      <c r="M176" s="3" t="s">
        <v>147</v>
      </c>
      <c r="N176" s="3">
        <v>3</v>
      </c>
      <c r="O176" s="9">
        <v>50400</v>
      </c>
      <c r="P176" s="10">
        <v>9513</v>
      </c>
      <c r="Q176" s="10">
        <v>7842</v>
      </c>
      <c r="R176" s="11">
        <f>P176-Q176</f>
        <v>1671</v>
      </c>
      <c r="S176" s="12">
        <f>R176/P176</f>
        <v>0.17565436770734785</v>
      </c>
      <c r="T176" s="3">
        <v>15</v>
      </c>
      <c r="U176" s="3">
        <v>16</v>
      </c>
      <c r="V176" s="3" t="str">
        <f>IF(U176&lt;=T176+1,"On-Time","Late")</f>
        <v>On-Time</v>
      </c>
      <c r="W176" s="3" t="s">
        <v>79</v>
      </c>
      <c r="X176" s="3" t="s">
        <v>111</v>
      </c>
      <c r="Y176" s="3" t="s">
        <v>81</v>
      </c>
    </row>
    <row r="177" spans="1:25">
      <c r="A177" s="3" t="s">
        <v>322</v>
      </c>
      <c r="B177" s="8">
        <v>46156</v>
      </c>
      <c r="C177" s="8">
        <v>46170</v>
      </c>
      <c r="D177" s="8">
        <v>46185</v>
      </c>
      <c r="E177" s="3" t="s">
        <v>83</v>
      </c>
      <c r="F177" s="3" t="s">
        <v>96</v>
      </c>
      <c r="G177" s="3" t="s">
        <v>98</v>
      </c>
      <c r="H177" s="3" t="s">
        <v>99</v>
      </c>
      <c r="I177" s="3" t="s">
        <v>100</v>
      </c>
      <c r="J177" s="3" t="s">
        <v>101</v>
      </c>
      <c r="K177" s="3" t="s">
        <v>165</v>
      </c>
      <c r="L177" s="3" t="s">
        <v>166</v>
      </c>
      <c r="M177" s="3" t="s">
        <v>147</v>
      </c>
      <c r="N177" s="3">
        <v>1</v>
      </c>
      <c r="O177" s="9">
        <v>20752</v>
      </c>
      <c r="P177" s="10">
        <v>2787</v>
      </c>
      <c r="Q177" s="10">
        <v>2328</v>
      </c>
      <c r="R177" s="11">
        <f>P177-Q177</f>
        <v>459</v>
      </c>
      <c r="S177" s="12">
        <f>R177/P177</f>
        <v>0.16469321851453175</v>
      </c>
      <c r="T177" s="3">
        <v>14</v>
      </c>
      <c r="U177" s="3">
        <v>15</v>
      </c>
      <c r="V177" s="3" t="str">
        <f>IF(U177&lt;=T177+1,"On-Time","Late")</f>
        <v>On-Time</v>
      </c>
      <c r="W177" s="3" t="s">
        <v>79</v>
      </c>
      <c r="X177" s="3" t="s">
        <v>111</v>
      </c>
      <c r="Y177" s="3" t="s">
        <v>137</v>
      </c>
    </row>
    <row r="178" spans="1:25">
      <c r="A178" s="3" t="s">
        <v>323</v>
      </c>
      <c r="B178" s="8">
        <v>46012</v>
      </c>
      <c r="C178" s="8">
        <v>46026</v>
      </c>
      <c r="D178" s="8">
        <v>46046</v>
      </c>
      <c r="E178" s="3" t="s">
        <v>83</v>
      </c>
      <c r="F178" s="3" t="s">
        <v>96</v>
      </c>
      <c r="G178" s="3" t="s">
        <v>126</v>
      </c>
      <c r="H178" s="3" t="s">
        <v>86</v>
      </c>
      <c r="I178" s="3" t="s">
        <v>127</v>
      </c>
      <c r="J178" s="3" t="s">
        <v>88</v>
      </c>
      <c r="K178" s="3" t="s">
        <v>156</v>
      </c>
      <c r="L178" s="3" t="s">
        <v>157</v>
      </c>
      <c r="M178" s="3" t="s">
        <v>147</v>
      </c>
      <c r="N178" s="3">
        <v>6</v>
      </c>
      <c r="O178" s="9">
        <v>121038</v>
      </c>
      <c r="P178" s="10">
        <v>14910</v>
      </c>
      <c r="Q178" s="10">
        <v>12004</v>
      </c>
      <c r="R178" s="11">
        <f>P178-Q178</f>
        <v>2906</v>
      </c>
      <c r="S178" s="12">
        <f>R178/P178</f>
        <v>0.1949027498323273</v>
      </c>
      <c r="T178" s="3">
        <v>19</v>
      </c>
      <c r="U178" s="3">
        <v>20</v>
      </c>
      <c r="V178" s="3" t="str">
        <f>IF(U178&lt;=T178+1,"On-Time","Late")</f>
        <v>On-Time</v>
      </c>
      <c r="W178" s="3" t="s">
        <v>79</v>
      </c>
      <c r="X178" s="3" t="s">
        <v>111</v>
      </c>
      <c r="Y178" s="3" t="s">
        <v>81</v>
      </c>
    </row>
    <row r="179" spans="1:25">
      <c r="A179" s="3" t="s">
        <v>324</v>
      </c>
      <c r="B179" s="8">
        <v>46154</v>
      </c>
      <c r="C179" s="8">
        <v>46168</v>
      </c>
      <c r="D179" s="8">
        <v>46170</v>
      </c>
      <c r="E179" s="3" t="s">
        <v>103</v>
      </c>
      <c r="F179" s="3" t="s">
        <v>71</v>
      </c>
      <c r="G179" s="3" t="s">
        <v>104</v>
      </c>
      <c r="H179" s="3" t="s">
        <v>105</v>
      </c>
      <c r="I179" s="3" t="s">
        <v>106</v>
      </c>
      <c r="J179" s="3" t="s">
        <v>107</v>
      </c>
      <c r="K179" s="3" t="s">
        <v>123</v>
      </c>
      <c r="L179" s="3" t="s">
        <v>124</v>
      </c>
      <c r="M179" s="3" t="s">
        <v>110</v>
      </c>
      <c r="N179" s="3">
        <v>5.0999999999999996</v>
      </c>
      <c r="O179" s="9">
        <v>5100</v>
      </c>
      <c r="P179" s="10">
        <v>25408</v>
      </c>
      <c r="Q179" s="10">
        <v>19810</v>
      </c>
      <c r="R179" s="11">
        <f>P179-Q179</f>
        <v>5598</v>
      </c>
      <c r="S179" s="12">
        <f>R179/P179</f>
        <v>0.22032430730478589</v>
      </c>
      <c r="T179" s="3">
        <v>2</v>
      </c>
      <c r="U179" s="3">
        <v>2</v>
      </c>
      <c r="V179" s="3" t="str">
        <f>IF(U179&lt;=T179+1,"On-Time","Late")</f>
        <v>On-Time</v>
      </c>
      <c r="W179" s="3" t="s">
        <v>79</v>
      </c>
      <c r="X179" s="3" t="s">
        <v>80</v>
      </c>
      <c r="Y179" s="3" t="s">
        <v>81</v>
      </c>
    </row>
    <row r="180" spans="1:25">
      <c r="A180" s="3" t="s">
        <v>325</v>
      </c>
      <c r="B180" s="8">
        <v>46167</v>
      </c>
      <c r="C180" s="8">
        <v>46174</v>
      </c>
      <c r="D180" s="8">
        <v>46192</v>
      </c>
      <c r="E180" s="3" t="s">
        <v>83</v>
      </c>
      <c r="F180" s="3" t="s">
        <v>96</v>
      </c>
      <c r="G180" s="3" t="s">
        <v>85</v>
      </c>
      <c r="H180" s="3" t="s">
        <v>86</v>
      </c>
      <c r="I180" s="3" t="s">
        <v>87</v>
      </c>
      <c r="J180" s="3" t="s">
        <v>88</v>
      </c>
      <c r="K180" s="3" t="s">
        <v>89</v>
      </c>
      <c r="L180" s="3" t="s">
        <v>90</v>
      </c>
      <c r="M180" s="3" t="s">
        <v>147</v>
      </c>
      <c r="N180" s="3">
        <v>1</v>
      </c>
      <c r="O180" s="9">
        <v>16629</v>
      </c>
      <c r="P180" s="10">
        <v>2397</v>
      </c>
      <c r="Q180" s="10">
        <v>2142</v>
      </c>
      <c r="R180" s="11">
        <f>P180-Q180</f>
        <v>255</v>
      </c>
      <c r="S180" s="12">
        <f>R180/P180</f>
        <v>0.10638297872340426</v>
      </c>
      <c r="T180" s="3">
        <v>18</v>
      </c>
      <c r="U180" s="3">
        <v>18</v>
      </c>
      <c r="V180" s="3" t="str">
        <f>IF(U180&lt;=T180+1,"On-Time","Late")</f>
        <v>On-Time</v>
      </c>
      <c r="W180" s="3" t="s">
        <v>183</v>
      </c>
      <c r="X180" s="3" t="s">
        <v>80</v>
      </c>
      <c r="Y180" s="3" t="s">
        <v>92</v>
      </c>
    </row>
    <row r="181" spans="1:25">
      <c r="A181" s="3" t="s">
        <v>326</v>
      </c>
      <c r="B181" s="8">
        <v>46129</v>
      </c>
      <c r="C181" s="8">
        <v>46140</v>
      </c>
      <c r="D181" s="8">
        <v>46156</v>
      </c>
      <c r="E181" s="3" t="s">
        <v>83</v>
      </c>
      <c r="F181" s="3" t="s">
        <v>84</v>
      </c>
      <c r="G181" s="3" t="s">
        <v>163</v>
      </c>
      <c r="H181" s="3" t="s">
        <v>99</v>
      </c>
      <c r="I181" s="3" t="s">
        <v>164</v>
      </c>
      <c r="J181" s="3" t="s">
        <v>101</v>
      </c>
      <c r="K181" s="3" t="s">
        <v>165</v>
      </c>
      <c r="L181" s="3" t="s">
        <v>166</v>
      </c>
      <c r="M181" s="3" t="s">
        <v>91</v>
      </c>
      <c r="N181" s="3">
        <v>1</v>
      </c>
      <c r="O181" s="9">
        <v>19183</v>
      </c>
      <c r="P181" s="10">
        <v>3179</v>
      </c>
      <c r="Q181" s="10">
        <v>2640</v>
      </c>
      <c r="R181" s="11">
        <f>P181-Q181</f>
        <v>539</v>
      </c>
      <c r="S181" s="12">
        <f>R181/P181</f>
        <v>0.16955017301038061</v>
      </c>
      <c r="T181" s="3">
        <v>15</v>
      </c>
      <c r="U181" s="3">
        <v>16</v>
      </c>
      <c r="V181" s="3" t="str">
        <f>IF(U181&lt;=T181+1,"On-Time","Late")</f>
        <v>On-Time</v>
      </c>
      <c r="W181" s="3" t="s">
        <v>79</v>
      </c>
      <c r="X181" s="3" t="s">
        <v>111</v>
      </c>
      <c r="Y181" s="3" t="s">
        <v>94</v>
      </c>
    </row>
    <row r="182" spans="1:25">
      <c r="A182" s="3" t="s">
        <v>327</v>
      </c>
      <c r="B182" s="8">
        <v>46057</v>
      </c>
      <c r="C182" s="8">
        <v>46071</v>
      </c>
      <c r="D182" s="8">
        <v>46090</v>
      </c>
      <c r="E182" s="3" t="s">
        <v>83</v>
      </c>
      <c r="F182" s="3" t="s">
        <v>84</v>
      </c>
      <c r="G182" s="3" t="s">
        <v>126</v>
      </c>
      <c r="H182" s="3" t="s">
        <v>86</v>
      </c>
      <c r="I182" s="3" t="s">
        <v>127</v>
      </c>
      <c r="J182" s="3" t="s">
        <v>88</v>
      </c>
      <c r="K182" s="3" t="s">
        <v>160</v>
      </c>
      <c r="L182" s="3" t="s">
        <v>161</v>
      </c>
      <c r="M182" s="3" t="s">
        <v>91</v>
      </c>
      <c r="N182" s="3">
        <v>2</v>
      </c>
      <c r="O182" s="9">
        <v>21554</v>
      </c>
      <c r="P182" s="10">
        <v>4612</v>
      </c>
      <c r="Q182" s="10">
        <v>3700</v>
      </c>
      <c r="R182" s="11">
        <f>P182-Q182</f>
        <v>912</v>
      </c>
      <c r="S182" s="12">
        <f>R182/P182</f>
        <v>0.19774501300954034</v>
      </c>
      <c r="T182" s="3">
        <v>19</v>
      </c>
      <c r="U182" s="3">
        <v>19</v>
      </c>
      <c r="V182" s="3" t="str">
        <f>IF(U182&lt;=T182+1,"On-Time","Late")</f>
        <v>On-Time</v>
      </c>
      <c r="W182" s="3" t="s">
        <v>79</v>
      </c>
      <c r="X182" s="3" t="s">
        <v>116</v>
      </c>
      <c r="Y182" s="3" t="s">
        <v>81</v>
      </c>
    </row>
    <row r="183" spans="1:25">
      <c r="A183" s="3" t="s">
        <v>328</v>
      </c>
      <c r="B183" s="8">
        <v>46091</v>
      </c>
      <c r="C183" s="8">
        <v>46102</v>
      </c>
      <c r="D183" s="8">
        <v>46104</v>
      </c>
      <c r="E183" s="3" t="s">
        <v>103</v>
      </c>
      <c r="F183" s="3" t="s">
        <v>71</v>
      </c>
      <c r="G183" s="3" t="s">
        <v>132</v>
      </c>
      <c r="H183" s="3" t="s">
        <v>105</v>
      </c>
      <c r="I183" s="3" t="s">
        <v>133</v>
      </c>
      <c r="J183" s="3" t="s">
        <v>107</v>
      </c>
      <c r="K183" s="3" t="s">
        <v>113</v>
      </c>
      <c r="L183" s="3" t="s">
        <v>114</v>
      </c>
      <c r="M183" s="3" t="s">
        <v>143</v>
      </c>
      <c r="N183" s="3">
        <v>4.0999999999999996</v>
      </c>
      <c r="O183" s="9">
        <v>4100</v>
      </c>
      <c r="P183" s="10">
        <v>18626</v>
      </c>
      <c r="Q183" s="10">
        <v>15006</v>
      </c>
      <c r="R183" s="11">
        <f>P183-Q183</f>
        <v>3620</v>
      </c>
      <c r="S183" s="12">
        <f>R183/P183</f>
        <v>0.19435198110168581</v>
      </c>
      <c r="T183" s="3">
        <v>2</v>
      </c>
      <c r="U183" s="3">
        <v>2</v>
      </c>
      <c r="V183" s="3" t="str">
        <f>IF(U183&lt;=T183+1,"On-Time","Late")</f>
        <v>On-Time</v>
      </c>
      <c r="W183" s="3" t="s">
        <v>79</v>
      </c>
      <c r="X183" s="3" t="s">
        <v>116</v>
      </c>
      <c r="Y183" s="3" t="s">
        <v>137</v>
      </c>
    </row>
    <row r="184" spans="1:25">
      <c r="A184" s="3" t="s">
        <v>329</v>
      </c>
      <c r="B184" s="8">
        <v>46020</v>
      </c>
      <c r="C184" s="8">
        <v>46034</v>
      </c>
      <c r="D184" s="8">
        <v>46037</v>
      </c>
      <c r="E184" s="3" t="s">
        <v>103</v>
      </c>
      <c r="F184" s="3" t="s">
        <v>96</v>
      </c>
      <c r="G184" s="3" t="s">
        <v>85</v>
      </c>
      <c r="H184" s="3" t="s">
        <v>119</v>
      </c>
      <c r="I184" s="3" t="s">
        <v>120</v>
      </c>
      <c r="J184" s="3" t="s">
        <v>121</v>
      </c>
      <c r="K184" s="3" t="s">
        <v>108</v>
      </c>
      <c r="L184" s="3" t="s">
        <v>109</v>
      </c>
      <c r="M184" s="3" t="s">
        <v>143</v>
      </c>
      <c r="N184" s="3">
        <v>0.8</v>
      </c>
      <c r="O184" s="9">
        <v>800</v>
      </c>
      <c r="P184" s="10">
        <v>3798</v>
      </c>
      <c r="Q184" s="10">
        <v>3023</v>
      </c>
      <c r="R184" s="11">
        <f>P184-Q184</f>
        <v>775</v>
      </c>
      <c r="S184" s="12">
        <f>R184/P184</f>
        <v>0.20405476566614009</v>
      </c>
      <c r="T184" s="3">
        <v>3</v>
      </c>
      <c r="U184" s="3">
        <v>3</v>
      </c>
      <c r="V184" s="3" t="str">
        <f>IF(U184&lt;=T184+1,"On-Time","Late")</f>
        <v>On-Time</v>
      </c>
      <c r="W184" s="3" t="s">
        <v>79</v>
      </c>
      <c r="X184" s="3" t="s">
        <v>111</v>
      </c>
      <c r="Y184" s="3" t="s">
        <v>137</v>
      </c>
    </row>
    <row r="185" spans="1:25">
      <c r="A185" s="3" t="s">
        <v>330</v>
      </c>
      <c r="B185" s="8">
        <v>46022</v>
      </c>
      <c r="C185" s="8">
        <v>46031</v>
      </c>
      <c r="D185" s="8">
        <v>46049</v>
      </c>
      <c r="E185" s="3" t="s">
        <v>83</v>
      </c>
      <c r="F185" s="3" t="s">
        <v>84</v>
      </c>
      <c r="G185" s="3" t="s">
        <v>85</v>
      </c>
      <c r="H185" s="3" t="s">
        <v>86</v>
      </c>
      <c r="I185" s="3" t="s">
        <v>87</v>
      </c>
      <c r="J185" s="3" t="s">
        <v>88</v>
      </c>
      <c r="K185" s="3" t="s">
        <v>128</v>
      </c>
      <c r="L185" s="3" t="s">
        <v>129</v>
      </c>
      <c r="M185" s="3" t="s">
        <v>136</v>
      </c>
      <c r="N185" s="3">
        <v>1</v>
      </c>
      <c r="O185" s="9">
        <v>16707</v>
      </c>
      <c r="P185" s="10">
        <v>2577</v>
      </c>
      <c r="Q185" s="10">
        <v>2178</v>
      </c>
      <c r="R185" s="11">
        <f>P185-Q185</f>
        <v>399</v>
      </c>
      <c r="S185" s="12">
        <f>R185/P185</f>
        <v>0.15483119906868451</v>
      </c>
      <c r="T185" s="3">
        <v>18</v>
      </c>
      <c r="U185" s="3">
        <v>18</v>
      </c>
      <c r="V185" s="3" t="str">
        <f>IF(U185&lt;=T185+1,"On-Time","Late")</f>
        <v>On-Time</v>
      </c>
      <c r="W185" s="3" t="s">
        <v>79</v>
      </c>
      <c r="X185" s="3" t="s">
        <v>116</v>
      </c>
      <c r="Y185" s="3" t="s">
        <v>94</v>
      </c>
    </row>
    <row r="186" spans="1:25">
      <c r="A186" s="3" t="s">
        <v>331</v>
      </c>
      <c r="B186" s="8">
        <v>46032</v>
      </c>
      <c r="C186" s="8">
        <v>46037</v>
      </c>
      <c r="D186" s="8">
        <v>46040</v>
      </c>
      <c r="E186" s="3" t="s">
        <v>103</v>
      </c>
      <c r="F186" s="3" t="s">
        <v>149</v>
      </c>
      <c r="G186" s="3" t="s">
        <v>132</v>
      </c>
      <c r="H186" s="3" t="s">
        <v>105</v>
      </c>
      <c r="I186" s="3" t="s">
        <v>133</v>
      </c>
      <c r="J186" s="3" t="s">
        <v>107</v>
      </c>
      <c r="K186" s="3" t="s">
        <v>113</v>
      </c>
      <c r="L186" s="3" t="s">
        <v>114</v>
      </c>
      <c r="M186" s="3" t="s">
        <v>110</v>
      </c>
      <c r="N186" s="3">
        <v>2.4</v>
      </c>
      <c r="O186" s="9">
        <v>2400</v>
      </c>
      <c r="P186" s="10">
        <v>8839</v>
      </c>
      <c r="Q186" s="10">
        <v>7128</v>
      </c>
      <c r="R186" s="11">
        <f>P186-Q186</f>
        <v>1711</v>
      </c>
      <c r="S186" s="12">
        <f>R186/P186</f>
        <v>0.19357393370290757</v>
      </c>
      <c r="T186" s="3">
        <v>2</v>
      </c>
      <c r="U186" s="3">
        <v>3</v>
      </c>
      <c r="V186" s="3" t="str">
        <f>IF(U186&lt;=T186+1,"On-Time","Late")</f>
        <v>On-Time</v>
      </c>
      <c r="W186" s="3" t="s">
        <v>79</v>
      </c>
      <c r="X186" s="3" t="s">
        <v>116</v>
      </c>
      <c r="Y186" s="3" t="s">
        <v>117</v>
      </c>
    </row>
    <row r="187" spans="1:25">
      <c r="A187" s="3" t="s">
        <v>332</v>
      </c>
      <c r="B187" s="8">
        <v>46040</v>
      </c>
      <c r="C187" s="8">
        <v>46046</v>
      </c>
      <c r="D187" s="8">
        <v>46064</v>
      </c>
      <c r="E187" s="3" t="s">
        <v>83</v>
      </c>
      <c r="F187" s="3" t="s">
        <v>96</v>
      </c>
      <c r="G187" s="3" t="s">
        <v>98</v>
      </c>
      <c r="H187" s="3" t="s">
        <v>99</v>
      </c>
      <c r="I187" s="3" t="s">
        <v>100</v>
      </c>
      <c r="J187" s="3" t="s">
        <v>101</v>
      </c>
      <c r="K187" s="3" t="s">
        <v>76</v>
      </c>
      <c r="L187" s="3" t="s">
        <v>77</v>
      </c>
      <c r="M187" s="3" t="s">
        <v>91</v>
      </c>
      <c r="N187" s="3">
        <v>2</v>
      </c>
      <c r="O187" s="9">
        <v>38148</v>
      </c>
      <c r="P187" s="10">
        <v>6140</v>
      </c>
      <c r="Q187" s="10">
        <v>5015</v>
      </c>
      <c r="R187" s="11">
        <f>P187-Q187</f>
        <v>1125</v>
      </c>
      <c r="S187" s="12">
        <f>R187/P187</f>
        <v>0.18322475570032573</v>
      </c>
      <c r="T187" s="3">
        <v>14</v>
      </c>
      <c r="U187" s="3">
        <v>18</v>
      </c>
      <c r="V187" s="3" t="str">
        <f>IF(U187&lt;=T187+1,"On-Time","Late")</f>
        <v>Late</v>
      </c>
      <c r="W187" s="3" t="s">
        <v>79</v>
      </c>
      <c r="X187" s="3" t="s">
        <v>80</v>
      </c>
      <c r="Y187" s="3" t="s">
        <v>81</v>
      </c>
    </row>
    <row r="188" spans="1:25">
      <c r="A188" s="3" t="s">
        <v>333</v>
      </c>
      <c r="B188" s="8">
        <v>46070</v>
      </c>
      <c r="C188" s="8">
        <v>46078</v>
      </c>
      <c r="D188" s="8">
        <v>46081</v>
      </c>
      <c r="E188" s="3" t="s">
        <v>70</v>
      </c>
      <c r="F188" s="3" t="s">
        <v>96</v>
      </c>
      <c r="G188" s="3" t="s">
        <v>72</v>
      </c>
      <c r="H188" s="3" t="s">
        <v>73</v>
      </c>
      <c r="I188" s="3" t="s">
        <v>74</v>
      </c>
      <c r="J188" s="3" t="s">
        <v>75</v>
      </c>
      <c r="K188" s="3" t="s">
        <v>123</v>
      </c>
      <c r="L188" s="3" t="s">
        <v>124</v>
      </c>
      <c r="M188" s="3" t="s">
        <v>219</v>
      </c>
      <c r="N188" s="3">
        <v>13.6</v>
      </c>
      <c r="O188" s="9">
        <v>13600</v>
      </c>
      <c r="P188" s="10">
        <v>1244</v>
      </c>
      <c r="Q188" s="10">
        <v>942</v>
      </c>
      <c r="R188" s="11">
        <f>P188-Q188</f>
        <v>302</v>
      </c>
      <c r="S188" s="12">
        <f>R188/P188</f>
        <v>0.2427652733118971</v>
      </c>
      <c r="T188" s="3">
        <v>2</v>
      </c>
      <c r="U188" s="3">
        <v>3</v>
      </c>
      <c r="V188" s="3" t="str">
        <f>IF(U188&lt;=T188+1,"On-Time","Late")</f>
        <v>On-Time</v>
      </c>
      <c r="W188" s="3" t="s">
        <v>79</v>
      </c>
      <c r="X188" s="3" t="s">
        <v>80</v>
      </c>
      <c r="Y188" s="3" t="s">
        <v>92</v>
      </c>
    </row>
    <row r="189" spans="1:25">
      <c r="A189" s="3" t="s">
        <v>334</v>
      </c>
      <c r="B189" s="8">
        <v>46115</v>
      </c>
      <c r="C189" s="8">
        <v>46127</v>
      </c>
      <c r="D189" s="8">
        <v>46129</v>
      </c>
      <c r="E189" s="3" t="s">
        <v>103</v>
      </c>
      <c r="F189" s="3" t="s">
        <v>149</v>
      </c>
      <c r="G189" s="3" t="s">
        <v>104</v>
      </c>
      <c r="H189" s="3" t="s">
        <v>105</v>
      </c>
      <c r="I189" s="3" t="s">
        <v>106</v>
      </c>
      <c r="J189" s="3" t="s">
        <v>107</v>
      </c>
      <c r="K189" s="3" t="s">
        <v>108</v>
      </c>
      <c r="L189" s="3" t="s">
        <v>109</v>
      </c>
      <c r="M189" s="3" t="s">
        <v>143</v>
      </c>
      <c r="N189" s="3">
        <v>5.0999999999999996</v>
      </c>
      <c r="O189" s="9">
        <v>5100</v>
      </c>
      <c r="P189" s="10">
        <v>26718</v>
      </c>
      <c r="Q189" s="10">
        <v>20988</v>
      </c>
      <c r="R189" s="11">
        <f>P189-Q189</f>
        <v>5730</v>
      </c>
      <c r="S189" s="12">
        <f>R189/P189</f>
        <v>0.21446216034134291</v>
      </c>
      <c r="T189" s="3">
        <v>2</v>
      </c>
      <c r="U189" s="3">
        <v>2</v>
      </c>
      <c r="V189" s="3" t="str">
        <f>IF(U189&lt;=T189+1,"On-Time","Late")</f>
        <v>On-Time</v>
      </c>
      <c r="W189" s="3" t="s">
        <v>79</v>
      </c>
      <c r="X189" s="3" t="s">
        <v>111</v>
      </c>
      <c r="Y189" s="3" t="s">
        <v>81</v>
      </c>
    </row>
    <row r="190" spans="1:25">
      <c r="A190" s="3" t="s">
        <v>335</v>
      </c>
      <c r="B190" s="8">
        <v>46160</v>
      </c>
      <c r="C190" s="8">
        <v>46169</v>
      </c>
      <c r="D190" s="8">
        <v>46188</v>
      </c>
      <c r="E190" s="3" t="s">
        <v>83</v>
      </c>
      <c r="F190" s="3" t="s">
        <v>96</v>
      </c>
      <c r="G190" s="3" t="s">
        <v>126</v>
      </c>
      <c r="H190" s="3" t="s">
        <v>86</v>
      </c>
      <c r="I190" s="3" t="s">
        <v>127</v>
      </c>
      <c r="J190" s="3" t="s">
        <v>88</v>
      </c>
      <c r="K190" s="3" t="s">
        <v>160</v>
      </c>
      <c r="L190" s="3" t="s">
        <v>161</v>
      </c>
      <c r="M190" s="3" t="s">
        <v>130</v>
      </c>
      <c r="N190" s="3">
        <v>6</v>
      </c>
      <c r="O190" s="9">
        <v>73818</v>
      </c>
      <c r="P190" s="10">
        <v>19758</v>
      </c>
      <c r="Q190" s="10">
        <v>16166</v>
      </c>
      <c r="R190" s="11">
        <f>P190-Q190</f>
        <v>3592</v>
      </c>
      <c r="S190" s="12">
        <f>R190/P190</f>
        <v>0.18179977730539529</v>
      </c>
      <c r="T190" s="3">
        <v>19</v>
      </c>
      <c r="U190" s="3">
        <v>19</v>
      </c>
      <c r="V190" s="3" t="str">
        <f>IF(U190&lt;=T190+1,"On-Time","Late")</f>
        <v>On-Time</v>
      </c>
      <c r="W190" s="3" t="s">
        <v>79</v>
      </c>
      <c r="X190" s="3" t="s">
        <v>116</v>
      </c>
      <c r="Y190" s="3" t="s">
        <v>81</v>
      </c>
    </row>
    <row r="191" spans="1:25">
      <c r="A191" s="3" t="s">
        <v>336</v>
      </c>
      <c r="B191" s="8">
        <v>46157</v>
      </c>
      <c r="C191" s="8">
        <v>46167</v>
      </c>
      <c r="D191" s="8">
        <v>46186</v>
      </c>
      <c r="E191" s="3" t="s">
        <v>83</v>
      </c>
      <c r="F191" s="3" t="s">
        <v>84</v>
      </c>
      <c r="G191" s="3" t="s">
        <v>140</v>
      </c>
      <c r="H191" s="3" t="s">
        <v>86</v>
      </c>
      <c r="I191" s="3" t="s">
        <v>141</v>
      </c>
      <c r="J191" s="3" t="s">
        <v>88</v>
      </c>
      <c r="K191" s="3" t="s">
        <v>156</v>
      </c>
      <c r="L191" s="3" t="s">
        <v>157</v>
      </c>
      <c r="M191" s="3" t="s">
        <v>136</v>
      </c>
      <c r="N191" s="3">
        <v>2</v>
      </c>
      <c r="O191" s="9">
        <v>41728</v>
      </c>
      <c r="P191" s="10">
        <v>5866</v>
      </c>
      <c r="Q191" s="10">
        <v>4881</v>
      </c>
      <c r="R191" s="11">
        <f>P191-Q191</f>
        <v>985</v>
      </c>
      <c r="S191" s="12">
        <f>R191/P191</f>
        <v>0.16791680872826459</v>
      </c>
      <c r="T191" s="3">
        <v>18</v>
      </c>
      <c r="U191" s="3">
        <v>19</v>
      </c>
      <c r="V191" s="3" t="str">
        <f>IF(U191&lt;=T191+1,"On-Time","Late")</f>
        <v>On-Time</v>
      </c>
      <c r="W191" s="3" t="s">
        <v>183</v>
      </c>
      <c r="X191" s="3" t="s">
        <v>111</v>
      </c>
      <c r="Y191" s="3" t="s">
        <v>117</v>
      </c>
    </row>
    <row r="192" spans="1:25">
      <c r="A192" s="3" t="s">
        <v>337</v>
      </c>
      <c r="B192" s="8">
        <v>46113</v>
      </c>
      <c r="C192" s="8">
        <v>46125</v>
      </c>
      <c r="D192" s="8">
        <v>46143</v>
      </c>
      <c r="E192" s="3" t="s">
        <v>83</v>
      </c>
      <c r="F192" s="3" t="s">
        <v>84</v>
      </c>
      <c r="G192" s="3" t="s">
        <v>98</v>
      </c>
      <c r="H192" s="3" t="s">
        <v>99</v>
      </c>
      <c r="I192" s="3" t="s">
        <v>100</v>
      </c>
      <c r="J192" s="3" t="s">
        <v>101</v>
      </c>
      <c r="K192" s="3" t="s">
        <v>165</v>
      </c>
      <c r="L192" s="3" t="s">
        <v>166</v>
      </c>
      <c r="M192" s="3" t="s">
        <v>167</v>
      </c>
      <c r="N192" s="3">
        <v>2</v>
      </c>
      <c r="O192" s="9">
        <v>35804</v>
      </c>
      <c r="P192" s="10">
        <v>5046</v>
      </c>
      <c r="Q192" s="10">
        <v>4127</v>
      </c>
      <c r="R192" s="11">
        <f>P192-Q192</f>
        <v>919</v>
      </c>
      <c r="S192" s="12">
        <f>R192/P192</f>
        <v>0.18212445501387237</v>
      </c>
      <c r="T192" s="3">
        <v>14</v>
      </c>
      <c r="U192" s="3">
        <v>18</v>
      </c>
      <c r="V192" s="3" t="str">
        <f>IF(U192&lt;=T192+1,"On-Time","Late")</f>
        <v>Late</v>
      </c>
      <c r="W192" s="3" t="s">
        <v>79</v>
      </c>
      <c r="X192" s="3" t="s">
        <v>111</v>
      </c>
      <c r="Y192" s="3" t="s">
        <v>94</v>
      </c>
    </row>
    <row r="193" spans="1:25">
      <c r="A193" s="3" t="s">
        <v>338</v>
      </c>
      <c r="B193" s="8">
        <v>46045</v>
      </c>
      <c r="C193" s="8">
        <v>46059</v>
      </c>
      <c r="D193" s="8">
        <v>46062</v>
      </c>
      <c r="E193" s="3" t="s">
        <v>103</v>
      </c>
      <c r="F193" s="3" t="s">
        <v>96</v>
      </c>
      <c r="G193" s="3" t="s">
        <v>85</v>
      </c>
      <c r="H193" s="3" t="s">
        <v>119</v>
      </c>
      <c r="I193" s="3" t="s">
        <v>120</v>
      </c>
      <c r="J193" s="3" t="s">
        <v>121</v>
      </c>
      <c r="K193" s="3" t="s">
        <v>108</v>
      </c>
      <c r="L193" s="3" t="s">
        <v>109</v>
      </c>
      <c r="M193" s="3" t="s">
        <v>110</v>
      </c>
      <c r="N193" s="3">
        <v>2.1</v>
      </c>
      <c r="O193" s="9">
        <v>2100</v>
      </c>
      <c r="P193" s="10">
        <v>8885</v>
      </c>
      <c r="Q193" s="10">
        <v>6842</v>
      </c>
      <c r="R193" s="11">
        <f>P193-Q193</f>
        <v>2043</v>
      </c>
      <c r="S193" s="12">
        <f>R193/P193</f>
        <v>0.22993809791783906</v>
      </c>
      <c r="T193" s="3">
        <v>3</v>
      </c>
      <c r="U193" s="3">
        <v>3</v>
      </c>
      <c r="V193" s="3" t="str">
        <f>IF(U193&lt;=T193+1,"On-Time","Late")</f>
        <v>On-Time</v>
      </c>
      <c r="W193" s="3" t="s">
        <v>79</v>
      </c>
      <c r="X193" s="3" t="s">
        <v>111</v>
      </c>
      <c r="Y193" s="3" t="s">
        <v>92</v>
      </c>
    </row>
    <row r="194" spans="1:25">
      <c r="A194" s="3" t="s">
        <v>339</v>
      </c>
      <c r="B194" s="8">
        <v>46045</v>
      </c>
      <c r="C194" s="8">
        <v>46050</v>
      </c>
      <c r="D194" s="8">
        <v>46066</v>
      </c>
      <c r="E194" s="3" t="s">
        <v>83</v>
      </c>
      <c r="F194" s="3" t="s">
        <v>96</v>
      </c>
      <c r="G194" s="3" t="s">
        <v>163</v>
      </c>
      <c r="H194" s="3" t="s">
        <v>99</v>
      </c>
      <c r="I194" s="3" t="s">
        <v>164</v>
      </c>
      <c r="J194" s="3" t="s">
        <v>101</v>
      </c>
      <c r="K194" s="3" t="s">
        <v>76</v>
      </c>
      <c r="L194" s="3" t="s">
        <v>77</v>
      </c>
      <c r="M194" s="3" t="s">
        <v>167</v>
      </c>
      <c r="N194" s="3">
        <v>1</v>
      </c>
      <c r="O194" s="9">
        <v>19845</v>
      </c>
      <c r="P194" s="10">
        <v>2592</v>
      </c>
      <c r="Q194" s="10">
        <v>2181</v>
      </c>
      <c r="R194" s="11">
        <f>P194-Q194</f>
        <v>411</v>
      </c>
      <c r="S194" s="12">
        <f>R194/P194</f>
        <v>0.15856481481481483</v>
      </c>
      <c r="T194" s="3">
        <v>15</v>
      </c>
      <c r="U194" s="3">
        <v>16</v>
      </c>
      <c r="V194" s="3" t="str">
        <f>IF(U194&lt;=T194+1,"On-Time","Late")</f>
        <v>On-Time</v>
      </c>
      <c r="W194" s="3" t="s">
        <v>79</v>
      </c>
      <c r="X194" s="3" t="s">
        <v>80</v>
      </c>
      <c r="Y194" s="3" t="s">
        <v>94</v>
      </c>
    </row>
    <row r="195" spans="1:25">
      <c r="A195" s="3" t="s">
        <v>340</v>
      </c>
      <c r="B195" s="8">
        <v>46162</v>
      </c>
      <c r="C195" s="8">
        <v>46174</v>
      </c>
      <c r="D195" s="8">
        <v>46192</v>
      </c>
      <c r="E195" s="3" t="s">
        <v>83</v>
      </c>
      <c r="F195" s="3" t="s">
        <v>96</v>
      </c>
      <c r="G195" s="3" t="s">
        <v>163</v>
      </c>
      <c r="H195" s="3" t="s">
        <v>99</v>
      </c>
      <c r="I195" s="3" t="s">
        <v>164</v>
      </c>
      <c r="J195" s="3" t="s">
        <v>101</v>
      </c>
      <c r="K195" s="3" t="s">
        <v>165</v>
      </c>
      <c r="L195" s="3" t="s">
        <v>166</v>
      </c>
      <c r="M195" s="3" t="s">
        <v>147</v>
      </c>
      <c r="N195" s="3">
        <v>1</v>
      </c>
      <c r="O195" s="9">
        <v>16185</v>
      </c>
      <c r="P195" s="10">
        <v>2987</v>
      </c>
      <c r="Q195" s="10">
        <v>2551</v>
      </c>
      <c r="R195" s="11">
        <f>P195-Q195</f>
        <v>436</v>
      </c>
      <c r="S195" s="12">
        <f>R195/P195</f>
        <v>0.1459658520254436</v>
      </c>
      <c r="T195" s="3">
        <v>15</v>
      </c>
      <c r="U195" s="3">
        <v>18</v>
      </c>
      <c r="V195" s="3" t="str">
        <f>IF(U195&lt;=T195+1,"On-Time","Late")</f>
        <v>Late</v>
      </c>
      <c r="W195" s="3" t="s">
        <v>183</v>
      </c>
      <c r="X195" s="3" t="s">
        <v>111</v>
      </c>
      <c r="Y195" s="3" t="s">
        <v>92</v>
      </c>
    </row>
    <row r="196" spans="1:25">
      <c r="A196" s="3" t="s">
        <v>341</v>
      </c>
      <c r="B196" s="8">
        <v>46153</v>
      </c>
      <c r="C196" s="8">
        <v>46163</v>
      </c>
      <c r="D196" s="8">
        <v>46181</v>
      </c>
      <c r="E196" s="3" t="s">
        <v>83</v>
      </c>
      <c r="F196" s="3" t="s">
        <v>84</v>
      </c>
      <c r="G196" s="3" t="s">
        <v>85</v>
      </c>
      <c r="H196" s="3" t="s">
        <v>86</v>
      </c>
      <c r="I196" s="3" t="s">
        <v>87</v>
      </c>
      <c r="J196" s="3" t="s">
        <v>88</v>
      </c>
      <c r="K196" s="3" t="s">
        <v>156</v>
      </c>
      <c r="L196" s="3" t="s">
        <v>157</v>
      </c>
      <c r="M196" s="3" t="s">
        <v>91</v>
      </c>
      <c r="N196" s="3">
        <v>6</v>
      </c>
      <c r="O196" s="9">
        <v>98370</v>
      </c>
      <c r="P196" s="10">
        <v>17226</v>
      </c>
      <c r="Q196" s="10">
        <v>15176</v>
      </c>
      <c r="R196" s="11">
        <f>P196-Q196</f>
        <v>2050</v>
      </c>
      <c r="S196" s="12">
        <f>R196/P196</f>
        <v>0.11900615348891211</v>
      </c>
      <c r="T196" s="3">
        <v>18</v>
      </c>
      <c r="U196" s="3">
        <v>18</v>
      </c>
      <c r="V196" s="3" t="str">
        <f>IF(U196&lt;=T196+1,"On-Time","Late")</f>
        <v>On-Time</v>
      </c>
      <c r="W196" s="3" t="s">
        <v>79</v>
      </c>
      <c r="X196" s="3" t="s">
        <v>111</v>
      </c>
      <c r="Y196" s="3" t="s">
        <v>117</v>
      </c>
    </row>
    <row r="197" spans="1:25">
      <c r="A197" s="3" t="s">
        <v>342</v>
      </c>
      <c r="B197" s="8">
        <v>46034</v>
      </c>
      <c r="C197" s="8">
        <v>46045</v>
      </c>
      <c r="D197" s="8">
        <v>46064</v>
      </c>
      <c r="E197" s="3" t="s">
        <v>83</v>
      </c>
      <c r="F197" s="3" t="s">
        <v>96</v>
      </c>
      <c r="G197" s="3" t="s">
        <v>140</v>
      </c>
      <c r="H197" s="3" t="s">
        <v>86</v>
      </c>
      <c r="I197" s="3" t="s">
        <v>141</v>
      </c>
      <c r="J197" s="3" t="s">
        <v>88</v>
      </c>
      <c r="K197" s="3" t="s">
        <v>89</v>
      </c>
      <c r="L197" s="3" t="s">
        <v>90</v>
      </c>
      <c r="M197" s="3" t="s">
        <v>91</v>
      </c>
      <c r="N197" s="3">
        <v>2</v>
      </c>
      <c r="O197" s="9">
        <v>28428</v>
      </c>
      <c r="P197" s="10">
        <v>5704</v>
      </c>
      <c r="Q197" s="10">
        <v>4682</v>
      </c>
      <c r="R197" s="11">
        <f>P197-Q197</f>
        <v>1022</v>
      </c>
      <c r="S197" s="12">
        <f>R197/P197</f>
        <v>0.17917251051893407</v>
      </c>
      <c r="T197" s="3">
        <v>18</v>
      </c>
      <c r="U197" s="3">
        <v>19</v>
      </c>
      <c r="V197" s="3" t="str">
        <f>IF(U197&lt;=T197+1,"On-Time","Late")</f>
        <v>On-Time</v>
      </c>
      <c r="W197" s="3" t="s">
        <v>79</v>
      </c>
      <c r="X197" s="3" t="s">
        <v>80</v>
      </c>
      <c r="Y197" s="3" t="s">
        <v>137</v>
      </c>
    </row>
    <row r="198" spans="1:25">
      <c r="A198" s="3" t="s">
        <v>343</v>
      </c>
      <c r="B198" s="8">
        <v>46068</v>
      </c>
      <c r="C198" s="8">
        <v>46080</v>
      </c>
      <c r="D198" s="8">
        <v>46098</v>
      </c>
      <c r="E198" s="3" t="s">
        <v>83</v>
      </c>
      <c r="F198" s="3" t="s">
        <v>96</v>
      </c>
      <c r="G198" s="3" t="s">
        <v>85</v>
      </c>
      <c r="H198" s="3" t="s">
        <v>86</v>
      </c>
      <c r="I198" s="3" t="s">
        <v>87</v>
      </c>
      <c r="J198" s="3" t="s">
        <v>88</v>
      </c>
      <c r="K198" s="3" t="s">
        <v>89</v>
      </c>
      <c r="L198" s="3" t="s">
        <v>90</v>
      </c>
      <c r="M198" s="3" t="s">
        <v>167</v>
      </c>
      <c r="N198" s="3">
        <v>2</v>
      </c>
      <c r="O198" s="9">
        <v>30492</v>
      </c>
      <c r="P198" s="10">
        <v>5340</v>
      </c>
      <c r="Q198" s="10">
        <v>4574</v>
      </c>
      <c r="R198" s="11">
        <f>P198-Q198</f>
        <v>766</v>
      </c>
      <c r="S198" s="12">
        <f>R198/P198</f>
        <v>0.14344569288389514</v>
      </c>
      <c r="T198" s="3">
        <v>18</v>
      </c>
      <c r="U198" s="3">
        <v>18</v>
      </c>
      <c r="V198" s="3" t="str">
        <f>IF(U198&lt;=T198+1,"On-Time","Late")</f>
        <v>On-Time</v>
      </c>
      <c r="W198" s="3" t="s">
        <v>79</v>
      </c>
      <c r="X198" s="3" t="s">
        <v>80</v>
      </c>
      <c r="Y198" s="3" t="s">
        <v>137</v>
      </c>
    </row>
    <row r="199" spans="1:25">
      <c r="A199" s="3" t="s">
        <v>344</v>
      </c>
      <c r="B199" s="8">
        <v>46166</v>
      </c>
      <c r="C199" s="8">
        <v>46174</v>
      </c>
      <c r="D199" s="8">
        <v>46177</v>
      </c>
      <c r="E199" s="3" t="s">
        <v>103</v>
      </c>
      <c r="F199" s="3" t="s">
        <v>96</v>
      </c>
      <c r="G199" s="3" t="s">
        <v>150</v>
      </c>
      <c r="H199" s="3" t="s">
        <v>119</v>
      </c>
      <c r="I199" s="3" t="s">
        <v>151</v>
      </c>
      <c r="J199" s="3" t="s">
        <v>121</v>
      </c>
      <c r="K199" s="3" t="s">
        <v>152</v>
      </c>
      <c r="L199" s="3" t="s">
        <v>153</v>
      </c>
      <c r="M199" s="3" t="s">
        <v>115</v>
      </c>
      <c r="N199" s="3">
        <v>2.2999999999999998</v>
      </c>
      <c r="O199" s="9">
        <v>2300</v>
      </c>
      <c r="P199" s="10">
        <v>10915</v>
      </c>
      <c r="Q199" s="10">
        <v>8681</v>
      </c>
      <c r="R199" s="11">
        <f>P199-Q199</f>
        <v>2234</v>
      </c>
      <c r="S199" s="12">
        <f>R199/P199</f>
        <v>0.20467246907924874</v>
      </c>
      <c r="T199" s="3">
        <v>3</v>
      </c>
      <c r="U199" s="3">
        <v>3</v>
      </c>
      <c r="V199" s="3" t="str">
        <f>IF(U199&lt;=T199+1,"On-Time","Late")</f>
        <v>On-Time</v>
      </c>
      <c r="W199" s="3" t="s">
        <v>134</v>
      </c>
      <c r="X199" s="3" t="s">
        <v>111</v>
      </c>
      <c r="Y199" s="3" t="s">
        <v>92</v>
      </c>
    </row>
    <row r="200" spans="1:25">
      <c r="A200" s="3" t="s">
        <v>345</v>
      </c>
      <c r="B200" s="8">
        <v>46084</v>
      </c>
      <c r="C200" s="8">
        <v>46092</v>
      </c>
      <c r="D200" s="8">
        <v>46095</v>
      </c>
      <c r="E200" s="3" t="s">
        <v>103</v>
      </c>
      <c r="F200" s="3" t="s">
        <v>96</v>
      </c>
      <c r="G200" s="3" t="s">
        <v>104</v>
      </c>
      <c r="H200" s="3" t="s">
        <v>105</v>
      </c>
      <c r="I200" s="3" t="s">
        <v>106</v>
      </c>
      <c r="J200" s="3" t="s">
        <v>107</v>
      </c>
      <c r="K200" s="3" t="s">
        <v>123</v>
      </c>
      <c r="L200" s="3" t="s">
        <v>124</v>
      </c>
      <c r="M200" s="3" t="s">
        <v>110</v>
      </c>
      <c r="N200" s="3">
        <v>3.3</v>
      </c>
      <c r="O200" s="9">
        <v>3300</v>
      </c>
      <c r="P200" s="10">
        <v>14374</v>
      </c>
      <c r="Q200" s="10">
        <v>11549</v>
      </c>
      <c r="R200" s="11">
        <f>P200-Q200</f>
        <v>2825</v>
      </c>
      <c r="S200" s="12">
        <f>R200/P200</f>
        <v>0.19653541115903714</v>
      </c>
      <c r="T200" s="3">
        <v>2</v>
      </c>
      <c r="U200" s="3">
        <v>3</v>
      </c>
      <c r="V200" s="3" t="str">
        <f>IF(U200&lt;=T200+1,"On-Time","Late")</f>
        <v>On-Time</v>
      </c>
      <c r="W200" s="3" t="s">
        <v>79</v>
      </c>
      <c r="X200" s="3" t="s">
        <v>80</v>
      </c>
      <c r="Y200" s="3" t="s">
        <v>81</v>
      </c>
    </row>
    <row r="201" spans="1:25">
      <c r="A201" s="3" t="s">
        <v>346</v>
      </c>
      <c r="B201" s="8">
        <v>46147</v>
      </c>
      <c r="C201" s="8">
        <v>46154</v>
      </c>
      <c r="D201" s="8">
        <v>46171</v>
      </c>
      <c r="E201" s="3" t="s">
        <v>83</v>
      </c>
      <c r="F201" s="3" t="s">
        <v>84</v>
      </c>
      <c r="G201" s="3" t="s">
        <v>163</v>
      </c>
      <c r="H201" s="3" t="s">
        <v>99</v>
      </c>
      <c r="I201" s="3" t="s">
        <v>164</v>
      </c>
      <c r="J201" s="3" t="s">
        <v>101</v>
      </c>
      <c r="K201" s="3" t="s">
        <v>165</v>
      </c>
      <c r="L201" s="3" t="s">
        <v>166</v>
      </c>
      <c r="M201" s="3" t="s">
        <v>91</v>
      </c>
      <c r="N201" s="3">
        <v>6</v>
      </c>
      <c r="O201" s="9">
        <v>106542</v>
      </c>
      <c r="P201" s="10">
        <v>14826</v>
      </c>
      <c r="Q201" s="10">
        <v>12460</v>
      </c>
      <c r="R201" s="11">
        <f>P201-Q201</f>
        <v>2366</v>
      </c>
      <c r="S201" s="12">
        <f>R201/P201</f>
        <v>0.15958451369216242</v>
      </c>
      <c r="T201" s="3">
        <v>15</v>
      </c>
      <c r="U201" s="3">
        <v>17</v>
      </c>
      <c r="V201" s="3" t="str">
        <f>IF(U201&lt;=T201+1,"On-Time","Late")</f>
        <v>Late</v>
      </c>
      <c r="W201" s="3" t="s">
        <v>79</v>
      </c>
      <c r="X201" s="3" t="s">
        <v>111</v>
      </c>
      <c r="Y201" s="3" t="s">
        <v>117</v>
      </c>
    </row>
    <row r="202" spans="1:25">
      <c r="A202" s="3" t="s">
        <v>347</v>
      </c>
      <c r="B202" s="8">
        <v>46071</v>
      </c>
      <c r="C202" s="8">
        <v>46085</v>
      </c>
      <c r="D202" s="8">
        <v>46088</v>
      </c>
      <c r="E202" s="3" t="s">
        <v>70</v>
      </c>
      <c r="F202" s="3" t="s">
        <v>149</v>
      </c>
      <c r="G202" s="3" t="s">
        <v>72</v>
      </c>
      <c r="H202" s="3" t="s">
        <v>73</v>
      </c>
      <c r="I202" s="3" t="s">
        <v>74</v>
      </c>
      <c r="J202" s="3" t="s">
        <v>75</v>
      </c>
      <c r="K202" s="3" t="s">
        <v>123</v>
      </c>
      <c r="L202" s="3" t="s">
        <v>124</v>
      </c>
      <c r="M202" s="3" t="s">
        <v>219</v>
      </c>
      <c r="N202" s="3">
        <v>13.3</v>
      </c>
      <c r="O202" s="9">
        <v>13300</v>
      </c>
      <c r="P202" s="10">
        <v>1912</v>
      </c>
      <c r="Q202" s="10">
        <v>1455</v>
      </c>
      <c r="R202" s="11">
        <f>P202-Q202</f>
        <v>457</v>
      </c>
      <c r="S202" s="12">
        <f>R202/P202</f>
        <v>0.23901673640167365</v>
      </c>
      <c r="T202" s="3">
        <v>2</v>
      </c>
      <c r="U202" s="3">
        <v>3</v>
      </c>
      <c r="V202" s="3" t="str">
        <f>IF(U202&lt;=T202+1,"On-Time","Late")</f>
        <v>On-Time</v>
      </c>
      <c r="W202" s="3" t="s">
        <v>79</v>
      </c>
      <c r="X202" s="3" t="s">
        <v>80</v>
      </c>
      <c r="Y202" s="3" t="s">
        <v>117</v>
      </c>
    </row>
    <row r="203" spans="1:25">
      <c r="A203" s="3" t="s">
        <v>348</v>
      </c>
      <c r="B203" s="8">
        <v>46138</v>
      </c>
      <c r="C203" s="8">
        <v>46150</v>
      </c>
      <c r="D203" s="8">
        <v>46152</v>
      </c>
      <c r="E203" s="3" t="s">
        <v>103</v>
      </c>
      <c r="F203" s="3" t="s">
        <v>96</v>
      </c>
      <c r="G203" s="3" t="s">
        <v>132</v>
      </c>
      <c r="H203" s="3" t="s">
        <v>105</v>
      </c>
      <c r="I203" s="3" t="s">
        <v>133</v>
      </c>
      <c r="J203" s="3" t="s">
        <v>107</v>
      </c>
      <c r="K203" s="3" t="s">
        <v>113</v>
      </c>
      <c r="L203" s="3" t="s">
        <v>114</v>
      </c>
      <c r="M203" s="3" t="s">
        <v>143</v>
      </c>
      <c r="N203" s="3">
        <v>5.5</v>
      </c>
      <c r="O203" s="9">
        <v>5500</v>
      </c>
      <c r="P203" s="10">
        <v>26510</v>
      </c>
      <c r="Q203" s="10">
        <v>21366</v>
      </c>
      <c r="R203" s="11">
        <f>P203-Q203</f>
        <v>5144</v>
      </c>
      <c r="S203" s="12">
        <f>R203/P203</f>
        <v>0.19403998491135421</v>
      </c>
      <c r="T203" s="3">
        <v>2</v>
      </c>
      <c r="U203" s="3">
        <v>2</v>
      </c>
      <c r="V203" s="3" t="str">
        <f>IF(U203&lt;=T203+1,"On-Time","Late")</f>
        <v>On-Time</v>
      </c>
      <c r="W203" s="3" t="s">
        <v>79</v>
      </c>
      <c r="X203" s="3" t="s">
        <v>116</v>
      </c>
      <c r="Y203" s="3" t="s">
        <v>137</v>
      </c>
    </row>
    <row r="204" spans="1:25">
      <c r="A204" s="3" t="s">
        <v>349</v>
      </c>
      <c r="B204" s="8">
        <v>46128</v>
      </c>
      <c r="C204" s="8">
        <v>46136</v>
      </c>
      <c r="D204" s="8">
        <v>46138</v>
      </c>
      <c r="E204" s="3" t="s">
        <v>70</v>
      </c>
      <c r="F204" s="3" t="s">
        <v>96</v>
      </c>
      <c r="G204" s="3" t="s">
        <v>72</v>
      </c>
      <c r="H204" s="3" t="s">
        <v>73</v>
      </c>
      <c r="I204" s="3" t="s">
        <v>74</v>
      </c>
      <c r="J204" s="3" t="s">
        <v>75</v>
      </c>
      <c r="K204" s="3" t="s">
        <v>76</v>
      </c>
      <c r="L204" s="3" t="s">
        <v>77</v>
      </c>
      <c r="M204" s="3" t="s">
        <v>78</v>
      </c>
      <c r="N204" s="3">
        <v>6.9</v>
      </c>
      <c r="O204" s="9">
        <v>6900</v>
      </c>
      <c r="P204" s="10">
        <v>1661</v>
      </c>
      <c r="Q204" s="10">
        <v>1244</v>
      </c>
      <c r="R204" s="11">
        <f>P204-Q204</f>
        <v>417</v>
      </c>
      <c r="S204" s="12">
        <f>R204/P204</f>
        <v>0.25105358217940998</v>
      </c>
      <c r="T204" s="3">
        <v>2</v>
      </c>
      <c r="U204" s="3">
        <v>2</v>
      </c>
      <c r="V204" s="3" t="str">
        <f>IF(U204&lt;=T204+1,"On-Time","Late")</f>
        <v>On-Time</v>
      </c>
      <c r="W204" s="3" t="s">
        <v>79</v>
      </c>
      <c r="X204" s="3" t="s">
        <v>80</v>
      </c>
      <c r="Y204" s="3" t="s">
        <v>92</v>
      </c>
    </row>
    <row r="205" spans="1:25">
      <c r="A205" s="3" t="s">
        <v>350</v>
      </c>
      <c r="B205" s="8">
        <v>46146</v>
      </c>
      <c r="C205" s="8">
        <v>46157</v>
      </c>
      <c r="D205" s="8">
        <v>46159</v>
      </c>
      <c r="E205" s="3" t="s">
        <v>103</v>
      </c>
      <c r="F205" s="3" t="s">
        <v>96</v>
      </c>
      <c r="G205" s="3" t="s">
        <v>104</v>
      </c>
      <c r="H205" s="3" t="s">
        <v>105</v>
      </c>
      <c r="I205" s="3" t="s">
        <v>106</v>
      </c>
      <c r="J205" s="3" t="s">
        <v>107</v>
      </c>
      <c r="K205" s="3" t="s">
        <v>108</v>
      </c>
      <c r="L205" s="3" t="s">
        <v>109</v>
      </c>
      <c r="M205" s="3" t="s">
        <v>115</v>
      </c>
      <c r="N205" s="3">
        <v>2.2999999999999998</v>
      </c>
      <c r="O205" s="9">
        <v>2300</v>
      </c>
      <c r="P205" s="10">
        <v>11412</v>
      </c>
      <c r="Q205" s="10">
        <v>9114</v>
      </c>
      <c r="R205" s="11">
        <f>P205-Q205</f>
        <v>2298</v>
      </c>
      <c r="S205" s="12">
        <f>R205/P205</f>
        <v>0.20136698212407991</v>
      </c>
      <c r="T205" s="3">
        <v>2</v>
      </c>
      <c r="U205" s="3">
        <v>2</v>
      </c>
      <c r="V205" s="3" t="str">
        <f>IF(U205&lt;=T205+1,"On-Time","Late")</f>
        <v>On-Time</v>
      </c>
      <c r="W205" s="3" t="s">
        <v>79</v>
      </c>
      <c r="X205" s="3" t="s">
        <v>111</v>
      </c>
      <c r="Y205" s="3" t="s">
        <v>117</v>
      </c>
    </row>
    <row r="206" spans="1:25">
      <c r="A206" s="3" t="s">
        <v>351</v>
      </c>
      <c r="B206" s="8">
        <v>46140</v>
      </c>
      <c r="C206" s="8">
        <v>46151</v>
      </c>
      <c r="D206" s="8">
        <v>46155</v>
      </c>
      <c r="E206" s="3" t="s">
        <v>103</v>
      </c>
      <c r="F206" s="3" t="s">
        <v>149</v>
      </c>
      <c r="G206" s="3" t="s">
        <v>150</v>
      </c>
      <c r="H206" s="3" t="s">
        <v>119</v>
      </c>
      <c r="I206" s="3" t="s">
        <v>151</v>
      </c>
      <c r="J206" s="3" t="s">
        <v>121</v>
      </c>
      <c r="K206" s="3" t="s">
        <v>160</v>
      </c>
      <c r="L206" s="3" t="s">
        <v>161</v>
      </c>
      <c r="M206" s="3" t="s">
        <v>110</v>
      </c>
      <c r="N206" s="3">
        <v>1.4</v>
      </c>
      <c r="O206" s="9">
        <v>1400</v>
      </c>
      <c r="P206" s="10">
        <v>5817</v>
      </c>
      <c r="Q206" s="10">
        <v>4553</v>
      </c>
      <c r="R206" s="11">
        <f>P206-Q206</f>
        <v>1264</v>
      </c>
      <c r="S206" s="12">
        <f>R206/P206</f>
        <v>0.21729413787175519</v>
      </c>
      <c r="T206" s="3">
        <v>3</v>
      </c>
      <c r="U206" s="3">
        <v>4</v>
      </c>
      <c r="V206" s="3" t="str">
        <f>IF(U206&lt;=T206+1,"On-Time","Late")</f>
        <v>On-Time</v>
      </c>
      <c r="W206" s="3" t="s">
        <v>79</v>
      </c>
      <c r="X206" s="3" t="s">
        <v>116</v>
      </c>
      <c r="Y206" s="3" t="s">
        <v>92</v>
      </c>
    </row>
    <row r="207" spans="1:25">
      <c r="A207" s="3" t="s">
        <v>352</v>
      </c>
      <c r="B207" s="8">
        <v>46024</v>
      </c>
      <c r="C207" s="8">
        <v>46033</v>
      </c>
      <c r="D207" s="8">
        <v>46036</v>
      </c>
      <c r="E207" s="3" t="s">
        <v>103</v>
      </c>
      <c r="F207" s="3" t="s">
        <v>96</v>
      </c>
      <c r="G207" s="3" t="s">
        <v>104</v>
      </c>
      <c r="H207" s="3" t="s">
        <v>105</v>
      </c>
      <c r="I207" s="3" t="s">
        <v>106</v>
      </c>
      <c r="J207" s="3" t="s">
        <v>107</v>
      </c>
      <c r="K207" s="3" t="s">
        <v>113</v>
      </c>
      <c r="L207" s="3" t="s">
        <v>114</v>
      </c>
      <c r="M207" s="3" t="s">
        <v>110</v>
      </c>
      <c r="N207" s="3">
        <v>0.7</v>
      </c>
      <c r="O207" s="9">
        <v>700</v>
      </c>
      <c r="P207" s="10">
        <v>3613</v>
      </c>
      <c r="Q207" s="10">
        <v>2850</v>
      </c>
      <c r="R207" s="11">
        <f>P207-Q207</f>
        <v>763</v>
      </c>
      <c r="S207" s="12">
        <f>R207/P207</f>
        <v>0.21118184334348186</v>
      </c>
      <c r="T207" s="3">
        <v>2</v>
      </c>
      <c r="U207" s="3">
        <v>3</v>
      </c>
      <c r="V207" s="3" t="str">
        <f>IF(U207&lt;=T207+1,"On-Time","Late")</f>
        <v>On-Time</v>
      </c>
      <c r="W207" s="3" t="s">
        <v>79</v>
      </c>
      <c r="X207" s="3" t="s">
        <v>116</v>
      </c>
      <c r="Y207" s="3" t="s">
        <v>92</v>
      </c>
    </row>
    <row r="208" spans="1:25">
      <c r="A208" s="3" t="s">
        <v>353</v>
      </c>
      <c r="B208" s="8">
        <v>46045</v>
      </c>
      <c r="C208" s="8">
        <v>46055</v>
      </c>
      <c r="D208" s="8">
        <v>46074</v>
      </c>
      <c r="E208" s="3" t="s">
        <v>83</v>
      </c>
      <c r="F208" s="3" t="s">
        <v>96</v>
      </c>
      <c r="G208" s="3" t="s">
        <v>126</v>
      </c>
      <c r="H208" s="3" t="s">
        <v>86</v>
      </c>
      <c r="I208" s="3" t="s">
        <v>127</v>
      </c>
      <c r="J208" s="3" t="s">
        <v>88</v>
      </c>
      <c r="K208" s="3" t="s">
        <v>160</v>
      </c>
      <c r="L208" s="3" t="s">
        <v>161</v>
      </c>
      <c r="M208" s="3" t="s">
        <v>91</v>
      </c>
      <c r="N208" s="3">
        <v>3</v>
      </c>
      <c r="O208" s="9">
        <v>58542</v>
      </c>
      <c r="P208" s="10">
        <v>8676</v>
      </c>
      <c r="Q208" s="10">
        <v>7345</v>
      </c>
      <c r="R208" s="11">
        <f>P208-Q208</f>
        <v>1331</v>
      </c>
      <c r="S208" s="12">
        <f>R208/P208</f>
        <v>0.15341171046565238</v>
      </c>
      <c r="T208" s="3">
        <v>19</v>
      </c>
      <c r="U208" s="3">
        <v>19</v>
      </c>
      <c r="V208" s="3" t="str">
        <f>IF(U208&lt;=T208+1,"On-Time","Late")</f>
        <v>On-Time</v>
      </c>
      <c r="W208" s="3" t="s">
        <v>79</v>
      </c>
      <c r="X208" s="3" t="s">
        <v>116</v>
      </c>
      <c r="Y208" s="3" t="s">
        <v>117</v>
      </c>
    </row>
    <row r="209" spans="1:25">
      <c r="A209" s="3" t="s">
        <v>354</v>
      </c>
      <c r="B209" s="8">
        <v>46101</v>
      </c>
      <c r="C209" s="8">
        <v>46112</v>
      </c>
      <c r="D209" s="8">
        <v>46115</v>
      </c>
      <c r="E209" s="3" t="s">
        <v>103</v>
      </c>
      <c r="F209" s="3" t="s">
        <v>149</v>
      </c>
      <c r="G209" s="3" t="s">
        <v>104</v>
      </c>
      <c r="H209" s="3" t="s">
        <v>105</v>
      </c>
      <c r="I209" s="3" t="s">
        <v>106</v>
      </c>
      <c r="J209" s="3" t="s">
        <v>107</v>
      </c>
      <c r="K209" s="3" t="s">
        <v>123</v>
      </c>
      <c r="L209" s="3" t="s">
        <v>124</v>
      </c>
      <c r="M209" s="3" t="s">
        <v>110</v>
      </c>
      <c r="N209" s="3">
        <v>4.4000000000000004</v>
      </c>
      <c r="O209" s="9">
        <v>4400</v>
      </c>
      <c r="P209" s="10">
        <v>18739</v>
      </c>
      <c r="Q209" s="10">
        <v>14435</v>
      </c>
      <c r="R209" s="11">
        <f>P209-Q209</f>
        <v>4304</v>
      </c>
      <c r="S209" s="12">
        <f>R209/P209</f>
        <v>0.2296814130956828</v>
      </c>
      <c r="T209" s="3">
        <v>2</v>
      </c>
      <c r="U209" s="3">
        <v>3</v>
      </c>
      <c r="V209" s="3" t="str">
        <f>IF(U209&lt;=T209+1,"On-Time","Late")</f>
        <v>On-Time</v>
      </c>
      <c r="W209" s="3" t="s">
        <v>79</v>
      </c>
      <c r="X209" s="3" t="s">
        <v>80</v>
      </c>
      <c r="Y209" s="3" t="s">
        <v>117</v>
      </c>
    </row>
    <row r="210" spans="1:25">
      <c r="A210" s="3" t="s">
        <v>355</v>
      </c>
      <c r="B210" s="8">
        <v>46106</v>
      </c>
      <c r="C210" s="8">
        <v>46111</v>
      </c>
      <c r="D210" s="8">
        <v>46115</v>
      </c>
      <c r="E210" s="3" t="s">
        <v>103</v>
      </c>
      <c r="F210" s="3" t="s">
        <v>149</v>
      </c>
      <c r="G210" s="3" t="s">
        <v>150</v>
      </c>
      <c r="H210" s="3" t="s">
        <v>119</v>
      </c>
      <c r="I210" s="3" t="s">
        <v>151</v>
      </c>
      <c r="J210" s="3" t="s">
        <v>121</v>
      </c>
      <c r="K210" s="3" t="s">
        <v>160</v>
      </c>
      <c r="L210" s="3" t="s">
        <v>161</v>
      </c>
      <c r="M210" s="3" t="s">
        <v>143</v>
      </c>
      <c r="N210" s="3">
        <v>4.0999999999999996</v>
      </c>
      <c r="O210" s="9">
        <v>4100</v>
      </c>
      <c r="P210" s="10">
        <v>21943</v>
      </c>
      <c r="Q210" s="10">
        <v>16803</v>
      </c>
      <c r="R210" s="11">
        <f>P210-Q210</f>
        <v>5140</v>
      </c>
      <c r="S210" s="12">
        <f>R210/P210</f>
        <v>0.23424326664539943</v>
      </c>
      <c r="T210" s="3">
        <v>3</v>
      </c>
      <c r="U210" s="3">
        <v>4</v>
      </c>
      <c r="V210" s="3" t="str">
        <f>IF(U210&lt;=T210+1,"On-Time","Late")</f>
        <v>On-Time</v>
      </c>
      <c r="W210" s="3" t="s">
        <v>79</v>
      </c>
      <c r="X210" s="3" t="s">
        <v>116</v>
      </c>
      <c r="Y210" s="3" t="s">
        <v>117</v>
      </c>
    </row>
    <row r="211" spans="1:25">
      <c r="A211" s="3" t="s">
        <v>356</v>
      </c>
      <c r="B211" s="8">
        <v>46096</v>
      </c>
      <c r="C211" s="8">
        <v>46103</v>
      </c>
      <c r="D211" s="8">
        <v>46122</v>
      </c>
      <c r="E211" s="3" t="s">
        <v>83</v>
      </c>
      <c r="F211" s="3" t="s">
        <v>96</v>
      </c>
      <c r="G211" s="3" t="s">
        <v>85</v>
      </c>
      <c r="H211" s="3" t="s">
        <v>86</v>
      </c>
      <c r="I211" s="3" t="s">
        <v>87</v>
      </c>
      <c r="J211" s="3" t="s">
        <v>88</v>
      </c>
      <c r="K211" s="3" t="s">
        <v>89</v>
      </c>
      <c r="L211" s="3" t="s">
        <v>90</v>
      </c>
      <c r="M211" s="3" t="s">
        <v>91</v>
      </c>
      <c r="N211" s="3">
        <v>3</v>
      </c>
      <c r="O211" s="9">
        <v>59451</v>
      </c>
      <c r="P211" s="10">
        <v>7629</v>
      </c>
      <c r="Q211" s="10">
        <v>6579</v>
      </c>
      <c r="R211" s="11">
        <f>P211-Q211</f>
        <v>1050</v>
      </c>
      <c r="S211" s="12">
        <f>R211/P211</f>
        <v>0.13763271726307511</v>
      </c>
      <c r="T211" s="3">
        <v>18</v>
      </c>
      <c r="U211" s="3">
        <v>19</v>
      </c>
      <c r="V211" s="3" t="str">
        <f>IF(U211&lt;=T211+1,"On-Time","Late")</f>
        <v>On-Time</v>
      </c>
      <c r="W211" s="3" t="s">
        <v>79</v>
      </c>
      <c r="X211" s="3" t="s">
        <v>80</v>
      </c>
      <c r="Y211" s="3" t="s">
        <v>94</v>
      </c>
    </row>
    <row r="212" spans="1:25">
      <c r="A212" s="3" t="s">
        <v>357</v>
      </c>
      <c r="B212" s="8">
        <v>46017</v>
      </c>
      <c r="C212" s="8">
        <v>46024</v>
      </c>
      <c r="D212" s="8">
        <v>46027</v>
      </c>
      <c r="E212" s="3" t="s">
        <v>103</v>
      </c>
      <c r="F212" s="3" t="s">
        <v>96</v>
      </c>
      <c r="G212" s="3" t="s">
        <v>104</v>
      </c>
      <c r="H212" s="3" t="s">
        <v>105</v>
      </c>
      <c r="I212" s="3" t="s">
        <v>106</v>
      </c>
      <c r="J212" s="3" t="s">
        <v>107</v>
      </c>
      <c r="K212" s="3" t="s">
        <v>113</v>
      </c>
      <c r="L212" s="3" t="s">
        <v>114</v>
      </c>
      <c r="M212" s="3" t="s">
        <v>143</v>
      </c>
      <c r="N212" s="3">
        <v>3.5</v>
      </c>
      <c r="O212" s="9">
        <v>3500</v>
      </c>
      <c r="P212" s="10">
        <v>12631</v>
      </c>
      <c r="Q212" s="10">
        <v>9905</v>
      </c>
      <c r="R212" s="11">
        <f>P212-Q212</f>
        <v>2726</v>
      </c>
      <c r="S212" s="12">
        <f>R212/P212</f>
        <v>0.21581822500197925</v>
      </c>
      <c r="T212" s="3">
        <v>2</v>
      </c>
      <c r="U212" s="3">
        <v>3</v>
      </c>
      <c r="V212" s="3" t="str">
        <f>IF(U212&lt;=T212+1,"On-Time","Late")</f>
        <v>On-Time</v>
      </c>
      <c r="W212" s="3" t="s">
        <v>79</v>
      </c>
      <c r="X212" s="3" t="s">
        <v>116</v>
      </c>
      <c r="Y212" s="3" t="s">
        <v>81</v>
      </c>
    </row>
    <row r="213" spans="1:25">
      <c r="A213" s="3" t="s">
        <v>358</v>
      </c>
      <c r="B213" s="8">
        <v>46111</v>
      </c>
      <c r="C213" s="8">
        <v>46119</v>
      </c>
      <c r="D213" s="8">
        <v>46139</v>
      </c>
      <c r="E213" s="3" t="s">
        <v>83</v>
      </c>
      <c r="F213" s="3" t="s">
        <v>96</v>
      </c>
      <c r="G213" s="3" t="s">
        <v>126</v>
      </c>
      <c r="H213" s="3" t="s">
        <v>86</v>
      </c>
      <c r="I213" s="3" t="s">
        <v>127</v>
      </c>
      <c r="J213" s="3" t="s">
        <v>88</v>
      </c>
      <c r="K213" s="3" t="s">
        <v>156</v>
      </c>
      <c r="L213" s="3" t="s">
        <v>157</v>
      </c>
      <c r="M213" s="3" t="s">
        <v>136</v>
      </c>
      <c r="N213" s="3">
        <v>6</v>
      </c>
      <c r="O213" s="9">
        <v>123468</v>
      </c>
      <c r="P213" s="10">
        <v>18276</v>
      </c>
      <c r="Q213" s="10">
        <v>15201</v>
      </c>
      <c r="R213" s="11">
        <f>P213-Q213</f>
        <v>3075</v>
      </c>
      <c r="S213" s="12">
        <f>R213/P213</f>
        <v>0.16825344714379514</v>
      </c>
      <c r="T213" s="3">
        <v>19</v>
      </c>
      <c r="U213" s="3">
        <v>20</v>
      </c>
      <c r="V213" s="3" t="str">
        <f>IF(U213&lt;=T213+1,"On-Time","Late")</f>
        <v>On-Time</v>
      </c>
      <c r="W213" s="3" t="s">
        <v>79</v>
      </c>
      <c r="X213" s="3" t="s">
        <v>111</v>
      </c>
      <c r="Y213" s="3" t="s">
        <v>81</v>
      </c>
    </row>
    <row r="214" spans="1:25">
      <c r="A214" s="3" t="s">
        <v>359</v>
      </c>
      <c r="B214" s="8">
        <v>46083</v>
      </c>
      <c r="C214" s="8">
        <v>46091</v>
      </c>
      <c r="D214" s="8">
        <v>46105</v>
      </c>
      <c r="E214" s="3" t="s">
        <v>83</v>
      </c>
      <c r="F214" s="3" t="s">
        <v>84</v>
      </c>
      <c r="G214" s="3" t="s">
        <v>98</v>
      </c>
      <c r="H214" s="3" t="s">
        <v>99</v>
      </c>
      <c r="I214" s="3" t="s">
        <v>100</v>
      </c>
      <c r="J214" s="3" t="s">
        <v>101</v>
      </c>
      <c r="K214" s="3" t="s">
        <v>76</v>
      </c>
      <c r="L214" s="3" t="s">
        <v>77</v>
      </c>
      <c r="M214" s="3" t="s">
        <v>91</v>
      </c>
      <c r="N214" s="3">
        <v>1</v>
      </c>
      <c r="O214" s="9">
        <v>13342</v>
      </c>
      <c r="P214" s="10">
        <v>3078</v>
      </c>
      <c r="Q214" s="10">
        <v>2630</v>
      </c>
      <c r="R214" s="11">
        <f>P214-Q214</f>
        <v>448</v>
      </c>
      <c r="S214" s="12">
        <f>R214/P214</f>
        <v>0.14554905782975958</v>
      </c>
      <c r="T214" s="3">
        <v>14</v>
      </c>
      <c r="U214" s="3">
        <v>14</v>
      </c>
      <c r="V214" s="3" t="str">
        <f>IF(U214&lt;=T214+1,"On-Time","Late")</f>
        <v>On-Time</v>
      </c>
      <c r="W214" s="3" t="s">
        <v>79</v>
      </c>
      <c r="X214" s="3" t="s">
        <v>80</v>
      </c>
      <c r="Y214" s="3" t="s">
        <v>137</v>
      </c>
    </row>
    <row r="215" spans="1:25">
      <c r="A215" s="3" t="s">
        <v>360</v>
      </c>
      <c r="B215" s="8">
        <v>46078</v>
      </c>
      <c r="C215" s="8">
        <v>46088</v>
      </c>
      <c r="D215" s="8">
        <v>46106</v>
      </c>
      <c r="E215" s="3" t="s">
        <v>83</v>
      </c>
      <c r="F215" s="3" t="s">
        <v>84</v>
      </c>
      <c r="G215" s="3" t="s">
        <v>140</v>
      </c>
      <c r="H215" s="3" t="s">
        <v>86</v>
      </c>
      <c r="I215" s="3" t="s">
        <v>141</v>
      </c>
      <c r="J215" s="3" t="s">
        <v>88</v>
      </c>
      <c r="K215" s="3" t="s">
        <v>152</v>
      </c>
      <c r="L215" s="3" t="s">
        <v>153</v>
      </c>
      <c r="M215" s="3" t="s">
        <v>91</v>
      </c>
      <c r="N215" s="3">
        <v>1</v>
      </c>
      <c r="O215" s="9">
        <v>17226</v>
      </c>
      <c r="P215" s="10">
        <v>2303</v>
      </c>
      <c r="Q215" s="10">
        <v>1940</v>
      </c>
      <c r="R215" s="11">
        <f>P215-Q215</f>
        <v>363</v>
      </c>
      <c r="S215" s="12">
        <f>R215/P215</f>
        <v>0.15762049500651323</v>
      </c>
      <c r="T215" s="3">
        <v>18</v>
      </c>
      <c r="U215" s="3">
        <v>18</v>
      </c>
      <c r="V215" s="3" t="str">
        <f>IF(U215&lt;=T215+1,"On-Time","Late")</f>
        <v>On-Time</v>
      </c>
      <c r="W215" s="3" t="s">
        <v>79</v>
      </c>
      <c r="X215" s="3" t="s">
        <v>111</v>
      </c>
      <c r="Y215" s="3" t="s">
        <v>137</v>
      </c>
    </row>
    <row r="216" spans="1:25">
      <c r="A216" s="3" t="s">
        <v>361</v>
      </c>
      <c r="B216" s="8">
        <v>46155</v>
      </c>
      <c r="C216" s="8">
        <v>46168</v>
      </c>
      <c r="D216" s="8">
        <v>46188</v>
      </c>
      <c r="E216" s="3" t="s">
        <v>83</v>
      </c>
      <c r="F216" s="3" t="s">
        <v>84</v>
      </c>
      <c r="G216" s="3" t="s">
        <v>126</v>
      </c>
      <c r="H216" s="3" t="s">
        <v>86</v>
      </c>
      <c r="I216" s="3" t="s">
        <v>127</v>
      </c>
      <c r="J216" s="3" t="s">
        <v>88</v>
      </c>
      <c r="K216" s="3" t="s">
        <v>160</v>
      </c>
      <c r="L216" s="3" t="s">
        <v>161</v>
      </c>
      <c r="M216" s="3" t="s">
        <v>167</v>
      </c>
      <c r="N216" s="3">
        <v>1</v>
      </c>
      <c r="O216" s="9">
        <v>11372</v>
      </c>
      <c r="P216" s="10">
        <v>2625</v>
      </c>
      <c r="Q216" s="10">
        <v>2199</v>
      </c>
      <c r="R216" s="11">
        <f>P216-Q216</f>
        <v>426</v>
      </c>
      <c r="S216" s="12">
        <f>R216/P216</f>
        <v>0.16228571428571428</v>
      </c>
      <c r="T216" s="3">
        <v>19</v>
      </c>
      <c r="U216" s="3">
        <v>20</v>
      </c>
      <c r="V216" s="3" t="str">
        <f>IF(U216&lt;=T216+1,"On-Time","Late")</f>
        <v>On-Time</v>
      </c>
      <c r="W216" s="3" t="s">
        <v>196</v>
      </c>
      <c r="X216" s="3" t="s">
        <v>116</v>
      </c>
      <c r="Y216" s="3" t="s">
        <v>117</v>
      </c>
    </row>
    <row r="217" spans="1:25">
      <c r="A217" s="3" t="s">
        <v>362</v>
      </c>
      <c r="B217" s="8">
        <v>46106</v>
      </c>
      <c r="C217" s="8">
        <v>46112</v>
      </c>
      <c r="D217" s="8">
        <v>46116</v>
      </c>
      <c r="E217" s="3" t="s">
        <v>103</v>
      </c>
      <c r="F217" s="3" t="s">
        <v>71</v>
      </c>
      <c r="G217" s="3" t="s">
        <v>150</v>
      </c>
      <c r="H217" s="3" t="s">
        <v>119</v>
      </c>
      <c r="I217" s="3" t="s">
        <v>151</v>
      </c>
      <c r="J217" s="3" t="s">
        <v>121</v>
      </c>
      <c r="K217" s="3" t="s">
        <v>160</v>
      </c>
      <c r="L217" s="3" t="s">
        <v>161</v>
      </c>
      <c r="M217" s="3" t="s">
        <v>143</v>
      </c>
      <c r="N217" s="3">
        <v>1.4</v>
      </c>
      <c r="O217" s="9">
        <v>1400</v>
      </c>
      <c r="P217" s="10">
        <v>7338</v>
      </c>
      <c r="Q217" s="10">
        <v>5699</v>
      </c>
      <c r="R217" s="11">
        <f>P217-Q217</f>
        <v>1639</v>
      </c>
      <c r="S217" s="12">
        <f>R217/P217</f>
        <v>0.22335786317797765</v>
      </c>
      <c r="T217" s="3">
        <v>3</v>
      </c>
      <c r="U217" s="3">
        <v>4</v>
      </c>
      <c r="V217" s="3" t="str">
        <f>IF(U217&lt;=T217+1,"On-Time","Late")</f>
        <v>On-Time</v>
      </c>
      <c r="W217" s="3" t="s">
        <v>79</v>
      </c>
      <c r="X217" s="3" t="s">
        <v>116</v>
      </c>
      <c r="Y217" s="3" t="s">
        <v>94</v>
      </c>
    </row>
    <row r="218" spans="1:25">
      <c r="A218" s="3" t="s">
        <v>363</v>
      </c>
      <c r="B218" s="8">
        <v>46070</v>
      </c>
      <c r="C218" s="8">
        <v>46084</v>
      </c>
      <c r="D218" s="8">
        <v>46090</v>
      </c>
      <c r="E218" s="3" t="s">
        <v>70</v>
      </c>
      <c r="F218" s="3" t="s">
        <v>149</v>
      </c>
      <c r="G218" s="3" t="s">
        <v>72</v>
      </c>
      <c r="H218" s="3" t="s">
        <v>73</v>
      </c>
      <c r="I218" s="3" t="s">
        <v>74</v>
      </c>
      <c r="J218" s="3" t="s">
        <v>75</v>
      </c>
      <c r="K218" s="3" t="s">
        <v>76</v>
      </c>
      <c r="L218" s="3" t="s">
        <v>77</v>
      </c>
      <c r="M218" s="3" t="s">
        <v>78</v>
      </c>
      <c r="N218" s="3">
        <v>5.3</v>
      </c>
      <c r="O218" s="9">
        <v>5300</v>
      </c>
      <c r="P218" s="10">
        <v>2163</v>
      </c>
      <c r="Q218" s="10">
        <v>1605</v>
      </c>
      <c r="R218" s="11">
        <f>P218-Q218</f>
        <v>558</v>
      </c>
      <c r="S218" s="12">
        <f>R218/P218</f>
        <v>0.2579750346740638</v>
      </c>
      <c r="T218" s="3">
        <v>2</v>
      </c>
      <c r="U218" s="3">
        <v>6</v>
      </c>
      <c r="V218" s="3" t="str">
        <f>IF(U218&lt;=T218+1,"On-Time","Late")</f>
        <v>Late</v>
      </c>
      <c r="W218" s="3" t="s">
        <v>79</v>
      </c>
      <c r="X218" s="3" t="s">
        <v>80</v>
      </c>
      <c r="Y218" s="3" t="s">
        <v>94</v>
      </c>
    </row>
    <row r="219" spans="1:25">
      <c r="A219" s="3" t="s">
        <v>364</v>
      </c>
      <c r="B219" s="8">
        <v>46079</v>
      </c>
      <c r="C219" s="8">
        <v>46089</v>
      </c>
      <c r="D219" s="8">
        <v>46092</v>
      </c>
      <c r="E219" s="3" t="s">
        <v>70</v>
      </c>
      <c r="F219" s="3" t="s">
        <v>71</v>
      </c>
      <c r="G219" s="3" t="s">
        <v>72</v>
      </c>
      <c r="H219" s="3" t="s">
        <v>73</v>
      </c>
      <c r="I219" s="3" t="s">
        <v>74</v>
      </c>
      <c r="J219" s="3" t="s">
        <v>75</v>
      </c>
      <c r="K219" s="3" t="s">
        <v>76</v>
      </c>
      <c r="L219" s="3" t="s">
        <v>77</v>
      </c>
      <c r="M219" s="3" t="s">
        <v>78</v>
      </c>
      <c r="N219" s="3">
        <v>6.3</v>
      </c>
      <c r="O219" s="9">
        <v>6300</v>
      </c>
      <c r="P219" s="10">
        <v>2502</v>
      </c>
      <c r="Q219" s="10">
        <v>1926</v>
      </c>
      <c r="R219" s="11">
        <f>P219-Q219</f>
        <v>576</v>
      </c>
      <c r="S219" s="12">
        <f>R219/P219</f>
        <v>0.23021582733812951</v>
      </c>
      <c r="T219" s="3">
        <v>2</v>
      </c>
      <c r="U219" s="3">
        <v>3</v>
      </c>
      <c r="V219" s="3" t="str">
        <f>IF(U219&lt;=T219+1,"On-Time","Late")</f>
        <v>On-Time</v>
      </c>
      <c r="W219" s="3" t="s">
        <v>79</v>
      </c>
      <c r="X219" s="3" t="s">
        <v>80</v>
      </c>
      <c r="Y219" s="3" t="s">
        <v>92</v>
      </c>
    </row>
    <row r="220" spans="1:25">
      <c r="A220" s="3" t="s">
        <v>365</v>
      </c>
      <c r="B220" s="8">
        <v>46112</v>
      </c>
      <c r="C220" s="8">
        <v>46125</v>
      </c>
      <c r="D220" s="8">
        <v>46129</v>
      </c>
      <c r="E220" s="3" t="s">
        <v>103</v>
      </c>
      <c r="F220" s="3" t="s">
        <v>149</v>
      </c>
      <c r="G220" s="3" t="s">
        <v>150</v>
      </c>
      <c r="H220" s="3" t="s">
        <v>119</v>
      </c>
      <c r="I220" s="3" t="s">
        <v>151</v>
      </c>
      <c r="J220" s="3" t="s">
        <v>121</v>
      </c>
      <c r="K220" s="3" t="s">
        <v>152</v>
      </c>
      <c r="L220" s="3" t="s">
        <v>153</v>
      </c>
      <c r="M220" s="3" t="s">
        <v>110</v>
      </c>
      <c r="N220" s="3">
        <v>3.9</v>
      </c>
      <c r="O220" s="9">
        <v>3900</v>
      </c>
      <c r="P220" s="10">
        <v>14476</v>
      </c>
      <c r="Q220" s="10">
        <v>11467</v>
      </c>
      <c r="R220" s="11">
        <f>P220-Q220</f>
        <v>3009</v>
      </c>
      <c r="S220" s="12">
        <f>R220/P220</f>
        <v>0.20786128764852169</v>
      </c>
      <c r="T220" s="3">
        <v>3</v>
      </c>
      <c r="U220" s="3">
        <v>4</v>
      </c>
      <c r="V220" s="3" t="str">
        <f>IF(U220&lt;=T220+1,"On-Time","Late")</f>
        <v>On-Time</v>
      </c>
      <c r="W220" s="3" t="s">
        <v>79</v>
      </c>
      <c r="X220" s="3" t="s">
        <v>111</v>
      </c>
      <c r="Y220" s="3" t="s">
        <v>81</v>
      </c>
    </row>
    <row r="221" spans="1:25">
      <c r="A221" s="3" t="s">
        <v>366</v>
      </c>
      <c r="B221" s="8">
        <v>46163</v>
      </c>
      <c r="C221" s="8">
        <v>46172</v>
      </c>
      <c r="D221" s="8">
        <v>46174</v>
      </c>
      <c r="E221" s="3" t="s">
        <v>103</v>
      </c>
      <c r="F221" s="3" t="s">
        <v>149</v>
      </c>
      <c r="G221" s="3" t="s">
        <v>104</v>
      </c>
      <c r="H221" s="3" t="s">
        <v>105</v>
      </c>
      <c r="I221" s="3" t="s">
        <v>106</v>
      </c>
      <c r="J221" s="3" t="s">
        <v>107</v>
      </c>
      <c r="K221" s="3" t="s">
        <v>108</v>
      </c>
      <c r="L221" s="3" t="s">
        <v>109</v>
      </c>
      <c r="M221" s="3" t="s">
        <v>110</v>
      </c>
      <c r="N221" s="3">
        <v>1.3</v>
      </c>
      <c r="O221" s="9">
        <v>1300</v>
      </c>
      <c r="P221" s="10">
        <v>4704</v>
      </c>
      <c r="Q221" s="10">
        <v>3647</v>
      </c>
      <c r="R221" s="11">
        <f>P221-Q221</f>
        <v>1057</v>
      </c>
      <c r="S221" s="12">
        <f>R221/P221</f>
        <v>0.22470238095238096</v>
      </c>
      <c r="T221" s="3">
        <v>2</v>
      </c>
      <c r="U221" s="3">
        <v>2</v>
      </c>
      <c r="V221" s="3" t="str">
        <f>IF(U221&lt;=T221+1,"On-Time","Late")</f>
        <v>On-Time</v>
      </c>
      <c r="W221" s="3" t="s">
        <v>79</v>
      </c>
      <c r="X221" s="3" t="s">
        <v>111</v>
      </c>
      <c r="Y221" s="3" t="s">
        <v>81</v>
      </c>
    </row>
    <row r="222" spans="1:25">
      <c r="A222" s="3" t="s">
        <v>367</v>
      </c>
      <c r="B222" s="8">
        <v>46144</v>
      </c>
      <c r="C222" s="8">
        <v>46149</v>
      </c>
      <c r="D222" s="8">
        <v>46151</v>
      </c>
      <c r="E222" s="3" t="s">
        <v>103</v>
      </c>
      <c r="F222" s="3" t="s">
        <v>96</v>
      </c>
      <c r="G222" s="3" t="s">
        <v>104</v>
      </c>
      <c r="H222" s="3" t="s">
        <v>105</v>
      </c>
      <c r="I222" s="3" t="s">
        <v>106</v>
      </c>
      <c r="J222" s="3" t="s">
        <v>107</v>
      </c>
      <c r="K222" s="3" t="s">
        <v>108</v>
      </c>
      <c r="L222" s="3" t="s">
        <v>109</v>
      </c>
      <c r="M222" s="3" t="s">
        <v>110</v>
      </c>
      <c r="N222" s="3">
        <v>3.1</v>
      </c>
      <c r="O222" s="9">
        <v>3100</v>
      </c>
      <c r="P222" s="10">
        <v>12629</v>
      </c>
      <c r="Q222" s="10">
        <v>10014</v>
      </c>
      <c r="R222" s="11">
        <f>P222-Q222</f>
        <v>2615</v>
      </c>
      <c r="S222" s="12">
        <f>R222/P222</f>
        <v>0.20706310871802994</v>
      </c>
      <c r="T222" s="3">
        <v>2</v>
      </c>
      <c r="U222" s="3">
        <v>2</v>
      </c>
      <c r="V222" s="3" t="str">
        <f>IF(U222&lt;=T222+1,"On-Time","Late")</f>
        <v>On-Time</v>
      </c>
      <c r="W222" s="3" t="s">
        <v>79</v>
      </c>
      <c r="X222" s="3" t="s">
        <v>111</v>
      </c>
      <c r="Y222" s="3" t="s">
        <v>81</v>
      </c>
    </row>
    <row r="223" spans="1:25">
      <c r="A223" s="3" t="s">
        <v>368</v>
      </c>
      <c r="B223" s="8">
        <v>46125</v>
      </c>
      <c r="C223" s="8">
        <v>46138</v>
      </c>
      <c r="D223" s="8">
        <v>46157</v>
      </c>
      <c r="E223" s="3" t="s">
        <v>83</v>
      </c>
      <c r="F223" s="3" t="s">
        <v>84</v>
      </c>
      <c r="G223" s="3" t="s">
        <v>140</v>
      </c>
      <c r="H223" s="3" t="s">
        <v>86</v>
      </c>
      <c r="I223" s="3" t="s">
        <v>141</v>
      </c>
      <c r="J223" s="3" t="s">
        <v>88</v>
      </c>
      <c r="K223" s="3" t="s">
        <v>152</v>
      </c>
      <c r="L223" s="3" t="s">
        <v>153</v>
      </c>
      <c r="M223" s="3" t="s">
        <v>91</v>
      </c>
      <c r="N223" s="3">
        <v>2</v>
      </c>
      <c r="O223" s="9">
        <v>20066</v>
      </c>
      <c r="P223" s="10">
        <v>6554</v>
      </c>
      <c r="Q223" s="10">
        <v>5449</v>
      </c>
      <c r="R223" s="11">
        <f>P223-Q223</f>
        <v>1105</v>
      </c>
      <c r="S223" s="12">
        <f>R223/P223</f>
        <v>0.16859932865425695</v>
      </c>
      <c r="T223" s="3">
        <v>18</v>
      </c>
      <c r="U223" s="3">
        <v>19</v>
      </c>
      <c r="V223" s="3" t="str">
        <f>IF(U223&lt;=T223+1,"On-Time","Late")</f>
        <v>On-Time</v>
      </c>
      <c r="W223" s="3" t="s">
        <v>79</v>
      </c>
      <c r="X223" s="3" t="s">
        <v>111</v>
      </c>
      <c r="Y223" s="3" t="s">
        <v>81</v>
      </c>
    </row>
    <row r="224" spans="1:25">
      <c r="A224" s="3" t="s">
        <v>369</v>
      </c>
      <c r="B224" s="8">
        <v>46116</v>
      </c>
      <c r="C224" s="8">
        <v>46127</v>
      </c>
      <c r="D224" s="8">
        <v>46142</v>
      </c>
      <c r="E224" s="3" t="s">
        <v>83</v>
      </c>
      <c r="F224" s="3" t="s">
        <v>96</v>
      </c>
      <c r="G224" s="3" t="s">
        <v>98</v>
      </c>
      <c r="H224" s="3" t="s">
        <v>99</v>
      </c>
      <c r="I224" s="3" t="s">
        <v>100</v>
      </c>
      <c r="J224" s="3" t="s">
        <v>101</v>
      </c>
      <c r="K224" s="3" t="s">
        <v>165</v>
      </c>
      <c r="L224" s="3" t="s">
        <v>166</v>
      </c>
      <c r="M224" s="3" t="s">
        <v>130</v>
      </c>
      <c r="N224" s="3">
        <v>4</v>
      </c>
      <c r="O224" s="9">
        <v>81916</v>
      </c>
      <c r="P224" s="10">
        <v>9600</v>
      </c>
      <c r="Q224" s="10">
        <v>8205</v>
      </c>
      <c r="R224" s="11">
        <f>P224-Q224</f>
        <v>1395</v>
      </c>
      <c r="S224" s="12">
        <f>R224/P224</f>
        <v>0.14531250000000001</v>
      </c>
      <c r="T224" s="3">
        <v>14</v>
      </c>
      <c r="U224" s="3">
        <v>15</v>
      </c>
      <c r="V224" s="3" t="str">
        <f>IF(U224&lt;=T224+1,"On-Time","Late")</f>
        <v>On-Time</v>
      </c>
      <c r="W224" s="3" t="s">
        <v>79</v>
      </c>
      <c r="X224" s="3" t="s">
        <v>111</v>
      </c>
      <c r="Y224" s="3" t="s">
        <v>92</v>
      </c>
    </row>
    <row r="225" spans="1:25">
      <c r="A225" s="3" t="s">
        <v>370</v>
      </c>
      <c r="B225" s="8">
        <v>46023</v>
      </c>
      <c r="C225" s="8">
        <v>46030</v>
      </c>
      <c r="D225" s="8">
        <v>46045</v>
      </c>
      <c r="E225" s="3" t="s">
        <v>83</v>
      </c>
      <c r="F225" s="3" t="s">
        <v>96</v>
      </c>
      <c r="G225" s="3" t="s">
        <v>98</v>
      </c>
      <c r="H225" s="3" t="s">
        <v>99</v>
      </c>
      <c r="I225" s="3" t="s">
        <v>100</v>
      </c>
      <c r="J225" s="3" t="s">
        <v>101</v>
      </c>
      <c r="K225" s="3" t="s">
        <v>165</v>
      </c>
      <c r="L225" s="3" t="s">
        <v>166</v>
      </c>
      <c r="M225" s="3" t="s">
        <v>147</v>
      </c>
      <c r="N225" s="3">
        <v>4</v>
      </c>
      <c r="O225" s="9">
        <v>64324</v>
      </c>
      <c r="P225" s="10">
        <v>10908</v>
      </c>
      <c r="Q225" s="10">
        <v>9115</v>
      </c>
      <c r="R225" s="11">
        <f>P225-Q225</f>
        <v>1793</v>
      </c>
      <c r="S225" s="12">
        <f>R225/P225</f>
        <v>0.16437477081041438</v>
      </c>
      <c r="T225" s="3">
        <v>14</v>
      </c>
      <c r="U225" s="3">
        <v>15</v>
      </c>
      <c r="V225" s="3" t="str">
        <f>IF(U225&lt;=T225+1,"On-Time","Late")</f>
        <v>On-Time</v>
      </c>
      <c r="W225" s="3" t="s">
        <v>79</v>
      </c>
      <c r="X225" s="3" t="s">
        <v>111</v>
      </c>
      <c r="Y225" s="3" t="s">
        <v>137</v>
      </c>
    </row>
    <row r="226" spans="1:25">
      <c r="A226" s="3" t="s">
        <v>371</v>
      </c>
      <c r="B226" s="8">
        <v>46058</v>
      </c>
      <c r="C226" s="8">
        <v>46065</v>
      </c>
      <c r="D226" s="8">
        <v>46085</v>
      </c>
      <c r="E226" s="3" t="s">
        <v>83</v>
      </c>
      <c r="F226" s="3" t="s">
        <v>84</v>
      </c>
      <c r="G226" s="3" t="s">
        <v>126</v>
      </c>
      <c r="H226" s="3" t="s">
        <v>86</v>
      </c>
      <c r="I226" s="3" t="s">
        <v>127</v>
      </c>
      <c r="J226" s="3" t="s">
        <v>88</v>
      </c>
      <c r="K226" s="3" t="s">
        <v>156</v>
      </c>
      <c r="L226" s="3" t="s">
        <v>157</v>
      </c>
      <c r="M226" s="3" t="s">
        <v>136</v>
      </c>
      <c r="N226" s="3">
        <v>3</v>
      </c>
      <c r="O226" s="9">
        <v>53619</v>
      </c>
      <c r="P226" s="10">
        <v>9291</v>
      </c>
      <c r="Q226" s="10">
        <v>7666</v>
      </c>
      <c r="R226" s="11">
        <f>P226-Q226</f>
        <v>1625</v>
      </c>
      <c r="S226" s="12">
        <f>R226/P226</f>
        <v>0.17490044128726726</v>
      </c>
      <c r="T226" s="3">
        <v>19</v>
      </c>
      <c r="U226" s="3">
        <v>20</v>
      </c>
      <c r="V226" s="3" t="str">
        <f>IF(U226&lt;=T226+1,"On-Time","Late")</f>
        <v>On-Time</v>
      </c>
      <c r="W226" s="3" t="s">
        <v>79</v>
      </c>
      <c r="X226" s="3" t="s">
        <v>111</v>
      </c>
      <c r="Y226" s="3" t="s">
        <v>92</v>
      </c>
    </row>
    <row r="227" spans="1:25">
      <c r="A227" s="3" t="s">
        <v>372</v>
      </c>
      <c r="B227" s="8">
        <v>46047</v>
      </c>
      <c r="C227" s="8">
        <v>46053</v>
      </c>
      <c r="D227" s="8">
        <v>46075</v>
      </c>
      <c r="E227" s="3" t="s">
        <v>83</v>
      </c>
      <c r="F227" s="3" t="s">
        <v>84</v>
      </c>
      <c r="G227" s="3" t="s">
        <v>126</v>
      </c>
      <c r="H227" s="3" t="s">
        <v>86</v>
      </c>
      <c r="I227" s="3" t="s">
        <v>127</v>
      </c>
      <c r="J227" s="3" t="s">
        <v>88</v>
      </c>
      <c r="K227" s="3" t="s">
        <v>160</v>
      </c>
      <c r="L227" s="3" t="s">
        <v>161</v>
      </c>
      <c r="M227" s="3" t="s">
        <v>130</v>
      </c>
      <c r="N227" s="3">
        <v>4</v>
      </c>
      <c r="O227" s="9">
        <v>78368</v>
      </c>
      <c r="P227" s="10">
        <v>9316</v>
      </c>
      <c r="Q227" s="10">
        <v>7462</v>
      </c>
      <c r="R227" s="11">
        <f>P227-Q227</f>
        <v>1854</v>
      </c>
      <c r="S227" s="12">
        <f>R227/P227</f>
        <v>0.19901245169600687</v>
      </c>
      <c r="T227" s="3">
        <v>19</v>
      </c>
      <c r="U227" s="3">
        <v>22</v>
      </c>
      <c r="V227" s="3" t="str">
        <f>IF(U227&lt;=T227+1,"On-Time","Late")</f>
        <v>Late</v>
      </c>
      <c r="W227" s="3" t="s">
        <v>79</v>
      </c>
      <c r="X227" s="3" t="s">
        <v>116</v>
      </c>
      <c r="Y227" s="3" t="s">
        <v>94</v>
      </c>
    </row>
    <row r="228" spans="1:25">
      <c r="A228" s="3" t="s">
        <v>373</v>
      </c>
      <c r="B228" s="8">
        <v>46161</v>
      </c>
      <c r="C228" s="8">
        <v>46172</v>
      </c>
      <c r="D228" s="8">
        <v>46174</v>
      </c>
      <c r="E228" s="3" t="s">
        <v>70</v>
      </c>
      <c r="F228" s="3" t="s">
        <v>71</v>
      </c>
      <c r="G228" s="3" t="s">
        <v>72</v>
      </c>
      <c r="H228" s="3" t="s">
        <v>73</v>
      </c>
      <c r="I228" s="3" t="s">
        <v>74</v>
      </c>
      <c r="J228" s="3" t="s">
        <v>75</v>
      </c>
      <c r="K228" s="3" t="s">
        <v>76</v>
      </c>
      <c r="L228" s="3" t="s">
        <v>77</v>
      </c>
      <c r="M228" s="3" t="s">
        <v>219</v>
      </c>
      <c r="N228" s="3">
        <v>9.6999999999999993</v>
      </c>
      <c r="O228" s="9">
        <v>9700</v>
      </c>
      <c r="P228" s="10">
        <v>2654</v>
      </c>
      <c r="Q228" s="10">
        <v>1993</v>
      </c>
      <c r="R228" s="11">
        <f>P228-Q228</f>
        <v>661</v>
      </c>
      <c r="S228" s="12">
        <f>R228/P228</f>
        <v>0.24905802562170309</v>
      </c>
      <c r="T228" s="3">
        <v>2</v>
      </c>
      <c r="U228" s="3">
        <v>2</v>
      </c>
      <c r="V228" s="3" t="str">
        <f>IF(U228&lt;=T228+1,"On-Time","Late")</f>
        <v>On-Time</v>
      </c>
      <c r="W228" s="3" t="s">
        <v>134</v>
      </c>
      <c r="X228" s="3" t="s">
        <v>80</v>
      </c>
      <c r="Y228" s="3" t="s">
        <v>92</v>
      </c>
    </row>
    <row r="229" spans="1:25">
      <c r="A229" s="3" t="s">
        <v>374</v>
      </c>
      <c r="B229" s="8">
        <v>46155</v>
      </c>
      <c r="C229" s="8">
        <v>46167</v>
      </c>
      <c r="D229" s="8">
        <v>46182</v>
      </c>
      <c r="E229" s="3" t="s">
        <v>83</v>
      </c>
      <c r="F229" s="3" t="s">
        <v>96</v>
      </c>
      <c r="G229" s="3" t="s">
        <v>98</v>
      </c>
      <c r="H229" s="3" t="s">
        <v>99</v>
      </c>
      <c r="I229" s="3" t="s">
        <v>100</v>
      </c>
      <c r="J229" s="3" t="s">
        <v>101</v>
      </c>
      <c r="K229" s="3" t="s">
        <v>165</v>
      </c>
      <c r="L229" s="3" t="s">
        <v>166</v>
      </c>
      <c r="M229" s="3" t="s">
        <v>136</v>
      </c>
      <c r="N229" s="3">
        <v>2</v>
      </c>
      <c r="O229" s="9">
        <v>41074</v>
      </c>
      <c r="P229" s="10">
        <v>5370</v>
      </c>
      <c r="Q229" s="10">
        <v>4534</v>
      </c>
      <c r="R229" s="11">
        <f>P229-Q229</f>
        <v>836</v>
      </c>
      <c r="S229" s="12">
        <f>R229/P229</f>
        <v>0.15567970204841713</v>
      </c>
      <c r="T229" s="3">
        <v>14</v>
      </c>
      <c r="U229" s="3">
        <v>15</v>
      </c>
      <c r="V229" s="3" t="str">
        <f>IF(U229&lt;=T229+1,"On-Time","Late")</f>
        <v>On-Time</v>
      </c>
      <c r="W229" s="3" t="s">
        <v>134</v>
      </c>
      <c r="X229" s="3" t="s">
        <v>111</v>
      </c>
      <c r="Y229" s="3" t="s">
        <v>81</v>
      </c>
    </row>
    <row r="230" spans="1:25">
      <c r="A230" s="3" t="s">
        <v>375</v>
      </c>
      <c r="B230" s="8">
        <v>46049</v>
      </c>
      <c r="C230" s="8">
        <v>46062</v>
      </c>
      <c r="D230" s="8">
        <v>46080</v>
      </c>
      <c r="E230" s="3" t="s">
        <v>83</v>
      </c>
      <c r="F230" s="3" t="s">
        <v>84</v>
      </c>
      <c r="G230" s="3" t="s">
        <v>85</v>
      </c>
      <c r="H230" s="3" t="s">
        <v>86</v>
      </c>
      <c r="I230" s="3" t="s">
        <v>87</v>
      </c>
      <c r="J230" s="3" t="s">
        <v>88</v>
      </c>
      <c r="K230" s="3" t="s">
        <v>128</v>
      </c>
      <c r="L230" s="3" t="s">
        <v>129</v>
      </c>
      <c r="M230" s="3" t="s">
        <v>130</v>
      </c>
      <c r="N230" s="3">
        <v>2</v>
      </c>
      <c r="O230" s="9">
        <v>26058</v>
      </c>
      <c r="P230" s="10">
        <v>4934</v>
      </c>
      <c r="Q230" s="10">
        <v>4200</v>
      </c>
      <c r="R230" s="11">
        <f>P230-Q230</f>
        <v>734</v>
      </c>
      <c r="S230" s="12">
        <f>R230/P230</f>
        <v>0.1487636805837049</v>
      </c>
      <c r="T230" s="3">
        <v>18</v>
      </c>
      <c r="U230" s="3">
        <v>18</v>
      </c>
      <c r="V230" s="3" t="str">
        <f>IF(U230&lt;=T230+1,"On-Time","Late")</f>
        <v>On-Time</v>
      </c>
      <c r="W230" s="3" t="s">
        <v>79</v>
      </c>
      <c r="X230" s="3" t="s">
        <v>116</v>
      </c>
      <c r="Y230" s="3" t="s">
        <v>94</v>
      </c>
    </row>
    <row r="231" spans="1:25">
      <c r="A231" s="3" t="s">
        <v>376</v>
      </c>
      <c r="B231" s="8">
        <v>46093</v>
      </c>
      <c r="C231" s="8">
        <v>46105</v>
      </c>
      <c r="D231" s="8">
        <v>46112</v>
      </c>
      <c r="E231" s="3" t="s">
        <v>103</v>
      </c>
      <c r="F231" s="3" t="s">
        <v>96</v>
      </c>
      <c r="G231" s="3" t="s">
        <v>132</v>
      </c>
      <c r="H231" s="3" t="s">
        <v>105</v>
      </c>
      <c r="I231" s="3" t="s">
        <v>133</v>
      </c>
      <c r="J231" s="3" t="s">
        <v>107</v>
      </c>
      <c r="K231" s="3" t="s">
        <v>113</v>
      </c>
      <c r="L231" s="3" t="s">
        <v>114</v>
      </c>
      <c r="M231" s="3" t="s">
        <v>143</v>
      </c>
      <c r="N231" s="3">
        <v>4.0999999999999996</v>
      </c>
      <c r="O231" s="9">
        <v>4100</v>
      </c>
      <c r="P231" s="10">
        <v>20664</v>
      </c>
      <c r="Q231" s="10">
        <v>16016</v>
      </c>
      <c r="R231" s="11">
        <f>P231-Q231</f>
        <v>4648</v>
      </c>
      <c r="S231" s="12">
        <f>R231/P231</f>
        <v>0.22493224932249323</v>
      </c>
      <c r="T231" s="3">
        <v>2</v>
      </c>
      <c r="U231" s="3">
        <v>7</v>
      </c>
      <c r="V231" s="3" t="str">
        <f>IF(U231&lt;=T231+1,"On-Time","Late")</f>
        <v>Late</v>
      </c>
      <c r="W231" s="3" t="s">
        <v>79</v>
      </c>
      <c r="X231" s="3" t="s">
        <v>116</v>
      </c>
      <c r="Y231" s="3" t="s">
        <v>137</v>
      </c>
    </row>
    <row r="232" spans="1:25">
      <c r="A232" s="3" t="s">
        <v>377</v>
      </c>
      <c r="B232" s="8">
        <v>46136</v>
      </c>
      <c r="C232" s="8">
        <v>46147</v>
      </c>
      <c r="D232" s="8">
        <v>46150</v>
      </c>
      <c r="E232" s="3" t="s">
        <v>103</v>
      </c>
      <c r="F232" s="3" t="s">
        <v>149</v>
      </c>
      <c r="G232" s="3" t="s">
        <v>104</v>
      </c>
      <c r="H232" s="3" t="s">
        <v>105</v>
      </c>
      <c r="I232" s="3" t="s">
        <v>106</v>
      </c>
      <c r="J232" s="3" t="s">
        <v>107</v>
      </c>
      <c r="K232" s="3" t="s">
        <v>113</v>
      </c>
      <c r="L232" s="3" t="s">
        <v>114</v>
      </c>
      <c r="M232" s="3" t="s">
        <v>115</v>
      </c>
      <c r="N232" s="3">
        <v>2.6</v>
      </c>
      <c r="O232" s="9">
        <v>2600</v>
      </c>
      <c r="P232" s="10">
        <v>11832</v>
      </c>
      <c r="Q232" s="10">
        <v>9477</v>
      </c>
      <c r="R232" s="11">
        <f>P232-Q232</f>
        <v>2355</v>
      </c>
      <c r="S232" s="12">
        <f>R232/P232</f>
        <v>0.19903651115618662</v>
      </c>
      <c r="T232" s="3">
        <v>2</v>
      </c>
      <c r="U232" s="3">
        <v>3</v>
      </c>
      <c r="V232" s="3" t="str">
        <f>IF(U232&lt;=T232+1,"On-Time","Late")</f>
        <v>On-Time</v>
      </c>
      <c r="W232" s="3" t="s">
        <v>79</v>
      </c>
      <c r="X232" s="3" t="s">
        <v>116</v>
      </c>
      <c r="Y232" s="3" t="s">
        <v>92</v>
      </c>
    </row>
    <row r="233" spans="1:25">
      <c r="A233" s="3" t="s">
        <v>378</v>
      </c>
      <c r="B233" s="8">
        <v>46103</v>
      </c>
      <c r="C233" s="8">
        <v>46117</v>
      </c>
      <c r="D233" s="8">
        <v>46124</v>
      </c>
      <c r="E233" s="3" t="s">
        <v>70</v>
      </c>
      <c r="F233" s="3" t="s">
        <v>149</v>
      </c>
      <c r="G233" s="3" t="s">
        <v>72</v>
      </c>
      <c r="H233" s="3" t="s">
        <v>73</v>
      </c>
      <c r="I233" s="3" t="s">
        <v>74</v>
      </c>
      <c r="J233" s="3" t="s">
        <v>75</v>
      </c>
      <c r="K233" s="3" t="s">
        <v>123</v>
      </c>
      <c r="L233" s="3" t="s">
        <v>124</v>
      </c>
      <c r="M233" s="3" t="s">
        <v>78</v>
      </c>
      <c r="N233" s="3">
        <v>6.3</v>
      </c>
      <c r="O233" s="9">
        <v>6300</v>
      </c>
      <c r="P233" s="10">
        <v>1392</v>
      </c>
      <c r="Q233" s="10">
        <v>1069</v>
      </c>
      <c r="R233" s="11">
        <f>P233-Q233</f>
        <v>323</v>
      </c>
      <c r="S233" s="12">
        <f>R233/P233</f>
        <v>0.23204022988505746</v>
      </c>
      <c r="T233" s="3">
        <v>2</v>
      </c>
      <c r="U233" s="3">
        <v>7</v>
      </c>
      <c r="V233" s="3" t="str">
        <f>IF(U233&lt;=T233+1,"On-Time","Late")</f>
        <v>Late</v>
      </c>
      <c r="W233" s="3" t="s">
        <v>79</v>
      </c>
      <c r="X233" s="3" t="s">
        <v>80</v>
      </c>
      <c r="Y233" s="3" t="s">
        <v>81</v>
      </c>
    </row>
    <row r="234" spans="1:25">
      <c r="A234" s="3" t="s">
        <v>379</v>
      </c>
      <c r="B234" s="8">
        <v>46029</v>
      </c>
      <c r="C234" s="8">
        <v>46034</v>
      </c>
      <c r="D234" s="8">
        <v>46054</v>
      </c>
      <c r="E234" s="3" t="s">
        <v>83</v>
      </c>
      <c r="F234" s="3" t="s">
        <v>96</v>
      </c>
      <c r="G234" s="3" t="s">
        <v>126</v>
      </c>
      <c r="H234" s="3" t="s">
        <v>86</v>
      </c>
      <c r="I234" s="3" t="s">
        <v>127</v>
      </c>
      <c r="J234" s="3" t="s">
        <v>88</v>
      </c>
      <c r="K234" s="3" t="s">
        <v>156</v>
      </c>
      <c r="L234" s="3" t="s">
        <v>157</v>
      </c>
      <c r="M234" s="3" t="s">
        <v>130</v>
      </c>
      <c r="N234" s="3">
        <v>1</v>
      </c>
      <c r="O234" s="9">
        <v>19009</v>
      </c>
      <c r="P234" s="10">
        <v>2419</v>
      </c>
      <c r="Q234" s="10">
        <v>1994</v>
      </c>
      <c r="R234" s="11">
        <f>P234-Q234</f>
        <v>425</v>
      </c>
      <c r="S234" s="12">
        <f>R234/P234</f>
        <v>0.17569243489045061</v>
      </c>
      <c r="T234" s="3">
        <v>19</v>
      </c>
      <c r="U234" s="3">
        <v>20</v>
      </c>
      <c r="V234" s="3" t="str">
        <f>IF(U234&lt;=T234+1,"On-Time","Late")</f>
        <v>On-Time</v>
      </c>
      <c r="W234" s="3" t="s">
        <v>79</v>
      </c>
      <c r="X234" s="3" t="s">
        <v>111</v>
      </c>
      <c r="Y234" s="3" t="s">
        <v>92</v>
      </c>
    </row>
    <row r="235" spans="1:25">
      <c r="A235" s="3" t="s">
        <v>380</v>
      </c>
      <c r="B235" s="8">
        <v>46045</v>
      </c>
      <c r="C235" s="8">
        <v>46058</v>
      </c>
      <c r="D235" s="8">
        <v>46077</v>
      </c>
      <c r="E235" s="3" t="s">
        <v>83</v>
      </c>
      <c r="F235" s="3" t="s">
        <v>96</v>
      </c>
      <c r="G235" s="3" t="s">
        <v>126</v>
      </c>
      <c r="H235" s="3" t="s">
        <v>86</v>
      </c>
      <c r="I235" s="3" t="s">
        <v>127</v>
      </c>
      <c r="J235" s="3" t="s">
        <v>88</v>
      </c>
      <c r="K235" s="3" t="s">
        <v>156</v>
      </c>
      <c r="L235" s="3" t="s">
        <v>157</v>
      </c>
      <c r="M235" s="3" t="s">
        <v>91</v>
      </c>
      <c r="N235" s="3">
        <v>6</v>
      </c>
      <c r="O235" s="9">
        <v>72000</v>
      </c>
      <c r="P235" s="10">
        <v>17538</v>
      </c>
      <c r="Q235" s="10">
        <v>14033</v>
      </c>
      <c r="R235" s="11">
        <f>P235-Q235</f>
        <v>3505</v>
      </c>
      <c r="S235" s="12">
        <f>R235/P235</f>
        <v>0.19985175048466189</v>
      </c>
      <c r="T235" s="3">
        <v>19</v>
      </c>
      <c r="U235" s="3">
        <v>19</v>
      </c>
      <c r="V235" s="3" t="str">
        <f>IF(U235&lt;=T235+1,"On-Time","Late")</f>
        <v>On-Time</v>
      </c>
      <c r="W235" s="3" t="s">
        <v>79</v>
      </c>
      <c r="X235" s="3" t="s">
        <v>111</v>
      </c>
      <c r="Y235" s="3" t="s">
        <v>92</v>
      </c>
    </row>
    <row r="236" spans="1:25">
      <c r="A236" s="3" t="s">
        <v>381</v>
      </c>
      <c r="B236" s="8">
        <v>46042</v>
      </c>
      <c r="C236" s="8">
        <v>46052</v>
      </c>
      <c r="D236" s="8">
        <v>46068</v>
      </c>
      <c r="E236" s="3" t="s">
        <v>83</v>
      </c>
      <c r="F236" s="3" t="s">
        <v>96</v>
      </c>
      <c r="G236" s="3" t="s">
        <v>163</v>
      </c>
      <c r="H236" s="3" t="s">
        <v>99</v>
      </c>
      <c r="I236" s="3" t="s">
        <v>164</v>
      </c>
      <c r="J236" s="3" t="s">
        <v>101</v>
      </c>
      <c r="K236" s="3" t="s">
        <v>76</v>
      </c>
      <c r="L236" s="3" t="s">
        <v>77</v>
      </c>
      <c r="M236" s="3" t="s">
        <v>91</v>
      </c>
      <c r="N236" s="3">
        <v>1</v>
      </c>
      <c r="O236" s="9">
        <v>17974</v>
      </c>
      <c r="P236" s="10">
        <v>2497</v>
      </c>
      <c r="Q236" s="10">
        <v>2053</v>
      </c>
      <c r="R236" s="11">
        <f>P236-Q236</f>
        <v>444</v>
      </c>
      <c r="S236" s="12">
        <f>R236/P236</f>
        <v>0.17781337605126152</v>
      </c>
      <c r="T236" s="3">
        <v>15</v>
      </c>
      <c r="U236" s="3">
        <v>16</v>
      </c>
      <c r="V236" s="3" t="str">
        <f>IF(U236&lt;=T236+1,"On-Time","Late")</f>
        <v>On-Time</v>
      </c>
      <c r="W236" s="3" t="s">
        <v>79</v>
      </c>
      <c r="X236" s="3" t="s">
        <v>80</v>
      </c>
      <c r="Y236" s="3" t="s">
        <v>117</v>
      </c>
    </row>
    <row r="237" spans="1:25">
      <c r="A237" s="3" t="s">
        <v>382</v>
      </c>
      <c r="B237" s="8">
        <v>46090</v>
      </c>
      <c r="C237" s="8">
        <v>46098</v>
      </c>
      <c r="D237" s="8">
        <v>46100</v>
      </c>
      <c r="E237" s="3" t="s">
        <v>103</v>
      </c>
      <c r="F237" s="3" t="s">
        <v>149</v>
      </c>
      <c r="G237" s="3" t="s">
        <v>132</v>
      </c>
      <c r="H237" s="3" t="s">
        <v>105</v>
      </c>
      <c r="I237" s="3" t="s">
        <v>133</v>
      </c>
      <c r="J237" s="3" t="s">
        <v>107</v>
      </c>
      <c r="K237" s="3" t="s">
        <v>113</v>
      </c>
      <c r="L237" s="3" t="s">
        <v>114</v>
      </c>
      <c r="M237" s="3" t="s">
        <v>115</v>
      </c>
      <c r="N237" s="3">
        <v>2.2999999999999998</v>
      </c>
      <c r="O237" s="9">
        <v>2300</v>
      </c>
      <c r="P237" s="10">
        <v>9938</v>
      </c>
      <c r="Q237" s="10">
        <v>7708</v>
      </c>
      <c r="R237" s="11">
        <f>P237-Q237</f>
        <v>2230</v>
      </c>
      <c r="S237" s="12">
        <f>R237/P237</f>
        <v>0.22439122559871202</v>
      </c>
      <c r="T237" s="3">
        <v>2</v>
      </c>
      <c r="U237" s="3">
        <v>2</v>
      </c>
      <c r="V237" s="3" t="str">
        <f>IF(U237&lt;=T237+1,"On-Time","Late")</f>
        <v>On-Time</v>
      </c>
      <c r="W237" s="3" t="s">
        <v>79</v>
      </c>
      <c r="X237" s="3" t="s">
        <v>116</v>
      </c>
      <c r="Y237" s="3" t="s">
        <v>117</v>
      </c>
    </row>
    <row r="238" spans="1:25">
      <c r="A238" s="3" t="s">
        <v>383</v>
      </c>
      <c r="B238" s="8">
        <v>46159</v>
      </c>
      <c r="C238" s="8">
        <v>46170</v>
      </c>
      <c r="D238" s="8">
        <v>46192</v>
      </c>
      <c r="E238" s="3" t="s">
        <v>83</v>
      </c>
      <c r="F238" s="3" t="s">
        <v>84</v>
      </c>
      <c r="G238" s="3" t="s">
        <v>140</v>
      </c>
      <c r="H238" s="3" t="s">
        <v>86</v>
      </c>
      <c r="I238" s="3" t="s">
        <v>141</v>
      </c>
      <c r="J238" s="3" t="s">
        <v>88</v>
      </c>
      <c r="K238" s="3" t="s">
        <v>156</v>
      </c>
      <c r="L238" s="3" t="s">
        <v>157</v>
      </c>
      <c r="M238" s="3" t="s">
        <v>91</v>
      </c>
      <c r="N238" s="3">
        <v>4</v>
      </c>
      <c r="O238" s="9">
        <v>54828</v>
      </c>
      <c r="P238" s="10">
        <v>12340</v>
      </c>
      <c r="Q238" s="10">
        <v>9900</v>
      </c>
      <c r="R238" s="11">
        <f>P238-Q238</f>
        <v>2440</v>
      </c>
      <c r="S238" s="12">
        <f>R238/P238</f>
        <v>0.19773095623987033</v>
      </c>
      <c r="T238" s="3">
        <v>18</v>
      </c>
      <c r="U238" s="3">
        <v>22</v>
      </c>
      <c r="V238" s="3" t="str">
        <f>IF(U238&lt;=T238+1,"On-Time","Late")</f>
        <v>Late</v>
      </c>
      <c r="W238" s="3" t="s">
        <v>196</v>
      </c>
      <c r="X238" s="3" t="s">
        <v>111</v>
      </c>
      <c r="Y238" s="3" t="s">
        <v>92</v>
      </c>
    </row>
    <row r="239" spans="1:25">
      <c r="A239" s="3" t="s">
        <v>384</v>
      </c>
      <c r="B239" s="8">
        <v>46026</v>
      </c>
      <c r="C239" s="8">
        <v>46038</v>
      </c>
      <c r="D239" s="8">
        <v>46041</v>
      </c>
      <c r="E239" s="3" t="s">
        <v>103</v>
      </c>
      <c r="F239" s="3" t="s">
        <v>71</v>
      </c>
      <c r="G239" s="3" t="s">
        <v>150</v>
      </c>
      <c r="H239" s="3" t="s">
        <v>119</v>
      </c>
      <c r="I239" s="3" t="s">
        <v>151</v>
      </c>
      <c r="J239" s="3" t="s">
        <v>121</v>
      </c>
      <c r="K239" s="3" t="s">
        <v>160</v>
      </c>
      <c r="L239" s="3" t="s">
        <v>161</v>
      </c>
      <c r="M239" s="3" t="s">
        <v>115</v>
      </c>
      <c r="N239" s="3">
        <v>2.9</v>
      </c>
      <c r="O239" s="9">
        <v>2900</v>
      </c>
      <c r="P239" s="10">
        <v>11295</v>
      </c>
      <c r="Q239" s="10">
        <v>8900</v>
      </c>
      <c r="R239" s="11">
        <f>P239-Q239</f>
        <v>2395</v>
      </c>
      <c r="S239" s="12">
        <f>R239/P239</f>
        <v>0.21204072598494908</v>
      </c>
      <c r="T239" s="3">
        <v>3</v>
      </c>
      <c r="U239" s="3">
        <v>3</v>
      </c>
      <c r="V239" s="3" t="str">
        <f>IF(U239&lt;=T239+1,"On-Time","Late")</f>
        <v>On-Time</v>
      </c>
      <c r="W239" s="3" t="s">
        <v>79</v>
      </c>
      <c r="X239" s="3" t="s">
        <v>116</v>
      </c>
      <c r="Y239" s="3" t="s">
        <v>92</v>
      </c>
    </row>
    <row r="240" spans="1:25">
      <c r="A240" s="3" t="s">
        <v>385</v>
      </c>
      <c r="B240" s="8">
        <v>46166</v>
      </c>
      <c r="C240" s="8">
        <v>46175</v>
      </c>
      <c r="D240" s="8">
        <v>46193</v>
      </c>
      <c r="E240" s="3" t="s">
        <v>83</v>
      </c>
      <c r="F240" s="3" t="s">
        <v>84</v>
      </c>
      <c r="G240" s="3" t="s">
        <v>140</v>
      </c>
      <c r="H240" s="3" t="s">
        <v>86</v>
      </c>
      <c r="I240" s="3" t="s">
        <v>141</v>
      </c>
      <c r="J240" s="3" t="s">
        <v>88</v>
      </c>
      <c r="K240" s="3" t="s">
        <v>156</v>
      </c>
      <c r="L240" s="3" t="s">
        <v>157</v>
      </c>
      <c r="M240" s="3" t="s">
        <v>167</v>
      </c>
      <c r="N240" s="3">
        <v>2</v>
      </c>
      <c r="O240" s="9">
        <v>19986</v>
      </c>
      <c r="P240" s="10">
        <v>5594</v>
      </c>
      <c r="Q240" s="10">
        <v>4550</v>
      </c>
      <c r="R240" s="11">
        <f>P240-Q240</f>
        <v>1044</v>
      </c>
      <c r="S240" s="12">
        <f>R240/P240</f>
        <v>0.18662853056846621</v>
      </c>
      <c r="T240" s="3">
        <v>18</v>
      </c>
      <c r="U240" s="3">
        <v>18</v>
      </c>
      <c r="V240" s="3" t="str">
        <f>IF(U240&lt;=T240+1,"On-Time","Late")</f>
        <v>On-Time</v>
      </c>
      <c r="W240" s="3" t="s">
        <v>183</v>
      </c>
      <c r="X240" s="3" t="s">
        <v>111</v>
      </c>
      <c r="Y240" s="3" t="s">
        <v>137</v>
      </c>
    </row>
    <row r="241" spans="1:25">
      <c r="A241" s="3" t="s">
        <v>386</v>
      </c>
      <c r="B241" s="8">
        <v>46098</v>
      </c>
      <c r="C241" s="8">
        <v>46111</v>
      </c>
      <c r="D241" s="8">
        <v>46129</v>
      </c>
      <c r="E241" s="3" t="s">
        <v>83</v>
      </c>
      <c r="F241" s="3" t="s">
        <v>96</v>
      </c>
      <c r="G241" s="3" t="s">
        <v>140</v>
      </c>
      <c r="H241" s="3" t="s">
        <v>86</v>
      </c>
      <c r="I241" s="3" t="s">
        <v>141</v>
      </c>
      <c r="J241" s="3" t="s">
        <v>88</v>
      </c>
      <c r="K241" s="3" t="s">
        <v>156</v>
      </c>
      <c r="L241" s="3" t="s">
        <v>157</v>
      </c>
      <c r="M241" s="3" t="s">
        <v>91</v>
      </c>
      <c r="N241" s="3">
        <v>1</v>
      </c>
      <c r="O241" s="9">
        <v>15826</v>
      </c>
      <c r="P241" s="10">
        <v>2424</v>
      </c>
      <c r="Q241" s="10">
        <v>1986</v>
      </c>
      <c r="R241" s="11">
        <f>P241-Q241</f>
        <v>438</v>
      </c>
      <c r="S241" s="12">
        <f>R241/P241</f>
        <v>0.18069306930693069</v>
      </c>
      <c r="T241" s="3">
        <v>18</v>
      </c>
      <c r="U241" s="3">
        <v>18</v>
      </c>
      <c r="V241" s="3" t="str">
        <f>IF(U241&lt;=T241+1,"On-Time","Late")</f>
        <v>On-Time</v>
      </c>
      <c r="W241" s="3" t="s">
        <v>79</v>
      </c>
      <c r="X241" s="3" t="s">
        <v>111</v>
      </c>
      <c r="Y241" s="3" t="s">
        <v>92</v>
      </c>
    </row>
    <row r="242" spans="1:25">
      <c r="A242" s="3" t="s">
        <v>387</v>
      </c>
      <c r="B242" s="8">
        <v>46124</v>
      </c>
      <c r="C242" s="8">
        <v>46131</v>
      </c>
      <c r="D242" s="8">
        <v>46135</v>
      </c>
      <c r="E242" s="3" t="s">
        <v>103</v>
      </c>
      <c r="F242" s="3" t="s">
        <v>149</v>
      </c>
      <c r="G242" s="3" t="s">
        <v>150</v>
      </c>
      <c r="H242" s="3" t="s">
        <v>119</v>
      </c>
      <c r="I242" s="3" t="s">
        <v>151</v>
      </c>
      <c r="J242" s="3" t="s">
        <v>121</v>
      </c>
      <c r="K242" s="3" t="s">
        <v>152</v>
      </c>
      <c r="L242" s="3" t="s">
        <v>153</v>
      </c>
      <c r="M242" s="3" t="s">
        <v>115</v>
      </c>
      <c r="N242" s="3">
        <v>5.3</v>
      </c>
      <c r="O242" s="9">
        <v>5300</v>
      </c>
      <c r="P242" s="10">
        <v>26765</v>
      </c>
      <c r="Q242" s="10">
        <v>21002</v>
      </c>
      <c r="R242" s="11">
        <f>P242-Q242</f>
        <v>5763</v>
      </c>
      <c r="S242" s="12">
        <f>R242/P242</f>
        <v>0.21531851298337382</v>
      </c>
      <c r="T242" s="3">
        <v>3</v>
      </c>
      <c r="U242" s="3">
        <v>4</v>
      </c>
      <c r="V242" s="3" t="str">
        <f>IF(U242&lt;=T242+1,"On-Time","Late")</f>
        <v>On-Time</v>
      </c>
      <c r="W242" s="3" t="s">
        <v>79</v>
      </c>
      <c r="X242" s="3" t="s">
        <v>111</v>
      </c>
      <c r="Y242" s="3" t="s">
        <v>117</v>
      </c>
    </row>
    <row r="243" spans="1:25">
      <c r="A243" s="3" t="s">
        <v>388</v>
      </c>
      <c r="B243" s="8">
        <v>46161</v>
      </c>
      <c r="C243" s="8">
        <v>46168</v>
      </c>
      <c r="D243" s="8">
        <v>46171</v>
      </c>
      <c r="E243" s="3" t="s">
        <v>103</v>
      </c>
      <c r="F243" s="3" t="s">
        <v>96</v>
      </c>
      <c r="G243" s="3" t="s">
        <v>150</v>
      </c>
      <c r="H243" s="3" t="s">
        <v>119</v>
      </c>
      <c r="I243" s="3" t="s">
        <v>151</v>
      </c>
      <c r="J243" s="3" t="s">
        <v>121</v>
      </c>
      <c r="K243" s="3" t="s">
        <v>160</v>
      </c>
      <c r="L243" s="3" t="s">
        <v>161</v>
      </c>
      <c r="M243" s="3" t="s">
        <v>115</v>
      </c>
      <c r="N243" s="3">
        <v>4.0999999999999996</v>
      </c>
      <c r="O243" s="9">
        <v>4100</v>
      </c>
      <c r="P243" s="10">
        <v>16395</v>
      </c>
      <c r="Q243" s="10">
        <v>12984</v>
      </c>
      <c r="R243" s="11">
        <f>P243-Q243</f>
        <v>3411</v>
      </c>
      <c r="S243" s="12">
        <f>R243/P243</f>
        <v>0.20805123513266241</v>
      </c>
      <c r="T243" s="3">
        <v>3</v>
      </c>
      <c r="U243" s="3">
        <v>3</v>
      </c>
      <c r="V243" s="3" t="str">
        <f>IF(U243&lt;=T243+1,"On-Time","Late")</f>
        <v>On-Time</v>
      </c>
      <c r="W243" s="3" t="s">
        <v>196</v>
      </c>
      <c r="X243" s="3" t="s">
        <v>116</v>
      </c>
      <c r="Y243" s="3" t="s">
        <v>117</v>
      </c>
    </row>
    <row r="244" spans="1:25">
      <c r="A244" s="3" t="s">
        <v>389</v>
      </c>
      <c r="B244" s="8">
        <v>46056</v>
      </c>
      <c r="C244" s="8">
        <v>46070</v>
      </c>
      <c r="D244" s="8">
        <v>46085</v>
      </c>
      <c r="E244" s="3" t="s">
        <v>83</v>
      </c>
      <c r="F244" s="3" t="s">
        <v>84</v>
      </c>
      <c r="G244" s="3" t="s">
        <v>98</v>
      </c>
      <c r="H244" s="3" t="s">
        <v>99</v>
      </c>
      <c r="I244" s="3" t="s">
        <v>100</v>
      </c>
      <c r="J244" s="3" t="s">
        <v>101</v>
      </c>
      <c r="K244" s="3" t="s">
        <v>165</v>
      </c>
      <c r="L244" s="3" t="s">
        <v>166</v>
      </c>
      <c r="M244" s="3" t="s">
        <v>147</v>
      </c>
      <c r="N244" s="3">
        <v>1</v>
      </c>
      <c r="O244" s="9">
        <v>17332</v>
      </c>
      <c r="P244" s="10">
        <v>2616</v>
      </c>
      <c r="Q244" s="10">
        <v>2127</v>
      </c>
      <c r="R244" s="11">
        <f>P244-Q244</f>
        <v>489</v>
      </c>
      <c r="S244" s="12">
        <f>R244/P244</f>
        <v>0.18692660550458715</v>
      </c>
      <c r="T244" s="3">
        <v>14</v>
      </c>
      <c r="U244" s="3">
        <v>15</v>
      </c>
      <c r="V244" s="3" t="str">
        <f>IF(U244&lt;=T244+1,"On-Time","Late")</f>
        <v>On-Time</v>
      </c>
      <c r="W244" s="3" t="s">
        <v>79</v>
      </c>
      <c r="X244" s="3" t="s">
        <v>111</v>
      </c>
      <c r="Y244" s="3" t="s">
        <v>137</v>
      </c>
    </row>
    <row r="245" spans="1:25">
      <c r="A245" s="3" t="s">
        <v>390</v>
      </c>
      <c r="B245" s="8">
        <v>46025</v>
      </c>
      <c r="C245" s="8">
        <v>46033</v>
      </c>
      <c r="D245" s="8">
        <v>46037</v>
      </c>
      <c r="E245" s="3" t="s">
        <v>103</v>
      </c>
      <c r="F245" s="3" t="s">
        <v>96</v>
      </c>
      <c r="G245" s="3" t="s">
        <v>150</v>
      </c>
      <c r="H245" s="3" t="s">
        <v>119</v>
      </c>
      <c r="I245" s="3" t="s">
        <v>151</v>
      </c>
      <c r="J245" s="3" t="s">
        <v>121</v>
      </c>
      <c r="K245" s="3" t="s">
        <v>160</v>
      </c>
      <c r="L245" s="3" t="s">
        <v>161</v>
      </c>
      <c r="M245" s="3" t="s">
        <v>143</v>
      </c>
      <c r="N245" s="3">
        <v>2.1</v>
      </c>
      <c r="O245" s="9">
        <v>2100</v>
      </c>
      <c r="P245" s="10">
        <v>10082</v>
      </c>
      <c r="Q245" s="10">
        <v>8054</v>
      </c>
      <c r="R245" s="11">
        <f>P245-Q245</f>
        <v>2028</v>
      </c>
      <c r="S245" s="12">
        <f>R245/P245</f>
        <v>0.20115056536401507</v>
      </c>
      <c r="T245" s="3">
        <v>3</v>
      </c>
      <c r="U245" s="3">
        <v>4</v>
      </c>
      <c r="V245" s="3" t="str">
        <f>IF(U245&lt;=T245+1,"On-Time","Late")</f>
        <v>On-Time</v>
      </c>
      <c r="W245" s="3" t="s">
        <v>79</v>
      </c>
      <c r="X245" s="3" t="s">
        <v>116</v>
      </c>
      <c r="Y245" s="3" t="s">
        <v>137</v>
      </c>
    </row>
    <row r="246" spans="1:25">
      <c r="A246" s="3" t="s">
        <v>391</v>
      </c>
      <c r="B246" s="8">
        <v>46111</v>
      </c>
      <c r="C246" s="8">
        <v>46116</v>
      </c>
      <c r="D246" s="8">
        <v>46131</v>
      </c>
      <c r="E246" s="3" t="s">
        <v>83</v>
      </c>
      <c r="F246" s="3" t="s">
        <v>96</v>
      </c>
      <c r="G246" s="3" t="s">
        <v>98</v>
      </c>
      <c r="H246" s="3" t="s">
        <v>99</v>
      </c>
      <c r="I246" s="3" t="s">
        <v>100</v>
      </c>
      <c r="J246" s="3" t="s">
        <v>101</v>
      </c>
      <c r="K246" s="3" t="s">
        <v>76</v>
      </c>
      <c r="L246" s="3" t="s">
        <v>77</v>
      </c>
      <c r="M246" s="3" t="s">
        <v>136</v>
      </c>
      <c r="N246" s="3">
        <v>6</v>
      </c>
      <c r="O246" s="9">
        <v>98064</v>
      </c>
      <c r="P246" s="10">
        <v>19416</v>
      </c>
      <c r="Q246" s="10">
        <v>16089</v>
      </c>
      <c r="R246" s="11">
        <f>P246-Q246</f>
        <v>3327</v>
      </c>
      <c r="S246" s="12">
        <f>R246/P246</f>
        <v>0.17135352286773795</v>
      </c>
      <c r="T246" s="3">
        <v>14</v>
      </c>
      <c r="U246" s="3">
        <v>15</v>
      </c>
      <c r="V246" s="3" t="str">
        <f>IF(U246&lt;=T246+1,"On-Time","Late")</f>
        <v>On-Time</v>
      </c>
      <c r="W246" s="3" t="s">
        <v>79</v>
      </c>
      <c r="X246" s="3" t="s">
        <v>80</v>
      </c>
      <c r="Y246" s="3" t="s">
        <v>81</v>
      </c>
    </row>
    <row r="247" spans="1:25">
      <c r="A247" s="3" t="s">
        <v>392</v>
      </c>
      <c r="B247" s="8">
        <v>46033</v>
      </c>
      <c r="C247" s="8">
        <v>46045</v>
      </c>
      <c r="D247" s="8">
        <v>46064</v>
      </c>
      <c r="E247" s="3" t="s">
        <v>83</v>
      </c>
      <c r="F247" s="3" t="s">
        <v>96</v>
      </c>
      <c r="G247" s="3" t="s">
        <v>85</v>
      </c>
      <c r="H247" s="3" t="s">
        <v>86</v>
      </c>
      <c r="I247" s="3" t="s">
        <v>87</v>
      </c>
      <c r="J247" s="3" t="s">
        <v>88</v>
      </c>
      <c r="K247" s="3" t="s">
        <v>128</v>
      </c>
      <c r="L247" s="3" t="s">
        <v>129</v>
      </c>
      <c r="M247" s="3" t="s">
        <v>136</v>
      </c>
      <c r="N247" s="3">
        <v>6</v>
      </c>
      <c r="O247" s="9">
        <v>59568</v>
      </c>
      <c r="P247" s="10">
        <v>19476</v>
      </c>
      <c r="Q247" s="10">
        <v>16436</v>
      </c>
      <c r="R247" s="11">
        <f>P247-Q247</f>
        <v>3040</v>
      </c>
      <c r="S247" s="12">
        <f>R247/P247</f>
        <v>0.15608954610803039</v>
      </c>
      <c r="T247" s="3">
        <v>18</v>
      </c>
      <c r="U247" s="3">
        <v>19</v>
      </c>
      <c r="V247" s="3" t="str">
        <f>IF(U247&lt;=T247+1,"On-Time","Late")</f>
        <v>On-Time</v>
      </c>
      <c r="W247" s="3" t="s">
        <v>79</v>
      </c>
      <c r="X247" s="3" t="s">
        <v>116</v>
      </c>
      <c r="Y247" s="3" t="s">
        <v>137</v>
      </c>
    </row>
    <row r="248" spans="1:25">
      <c r="A248" s="3" t="s">
        <v>393</v>
      </c>
      <c r="B248" s="8">
        <v>46082</v>
      </c>
      <c r="C248" s="8">
        <v>46091</v>
      </c>
      <c r="D248" s="8">
        <v>46110</v>
      </c>
      <c r="E248" s="3" t="s">
        <v>83</v>
      </c>
      <c r="F248" s="3" t="s">
        <v>84</v>
      </c>
      <c r="G248" s="3" t="s">
        <v>126</v>
      </c>
      <c r="H248" s="3" t="s">
        <v>86</v>
      </c>
      <c r="I248" s="3" t="s">
        <v>127</v>
      </c>
      <c r="J248" s="3" t="s">
        <v>88</v>
      </c>
      <c r="K248" s="3" t="s">
        <v>160</v>
      </c>
      <c r="L248" s="3" t="s">
        <v>161</v>
      </c>
      <c r="M248" s="3" t="s">
        <v>147</v>
      </c>
      <c r="N248" s="3">
        <v>4</v>
      </c>
      <c r="O248" s="9">
        <v>82088</v>
      </c>
      <c r="P248" s="10">
        <v>12484</v>
      </c>
      <c r="Q248" s="10">
        <v>10503</v>
      </c>
      <c r="R248" s="11">
        <f>P248-Q248</f>
        <v>1981</v>
      </c>
      <c r="S248" s="12">
        <f>R248/P248</f>
        <v>0.15868311438641461</v>
      </c>
      <c r="T248" s="3">
        <v>19</v>
      </c>
      <c r="U248" s="3">
        <v>19</v>
      </c>
      <c r="V248" s="3" t="str">
        <f>IF(U248&lt;=T248+1,"On-Time","Late")</f>
        <v>On-Time</v>
      </c>
      <c r="W248" s="3" t="s">
        <v>79</v>
      </c>
      <c r="X248" s="3" t="s">
        <v>116</v>
      </c>
      <c r="Y248" s="3" t="s">
        <v>81</v>
      </c>
    </row>
    <row r="249" spans="1:25">
      <c r="A249" s="3" t="s">
        <v>394</v>
      </c>
      <c r="B249" s="8">
        <v>46151</v>
      </c>
      <c r="C249" s="8">
        <v>46156</v>
      </c>
      <c r="D249" s="8">
        <v>46175</v>
      </c>
      <c r="E249" s="3" t="s">
        <v>83</v>
      </c>
      <c r="F249" s="3" t="s">
        <v>96</v>
      </c>
      <c r="G249" s="3" t="s">
        <v>140</v>
      </c>
      <c r="H249" s="3" t="s">
        <v>86</v>
      </c>
      <c r="I249" s="3" t="s">
        <v>141</v>
      </c>
      <c r="J249" s="3" t="s">
        <v>88</v>
      </c>
      <c r="K249" s="3" t="s">
        <v>152</v>
      </c>
      <c r="L249" s="3" t="s">
        <v>153</v>
      </c>
      <c r="M249" s="3" t="s">
        <v>147</v>
      </c>
      <c r="N249" s="3">
        <v>2</v>
      </c>
      <c r="O249" s="9">
        <v>38564</v>
      </c>
      <c r="P249" s="10">
        <v>4934</v>
      </c>
      <c r="Q249" s="10">
        <v>4086</v>
      </c>
      <c r="R249" s="11">
        <f>P249-Q249</f>
        <v>848</v>
      </c>
      <c r="S249" s="12">
        <f>R249/P249</f>
        <v>0.17186866639643292</v>
      </c>
      <c r="T249" s="3">
        <v>18</v>
      </c>
      <c r="U249" s="3">
        <v>19</v>
      </c>
      <c r="V249" s="3" t="str">
        <f>IF(U249&lt;=T249+1,"On-Time","Late")</f>
        <v>On-Time</v>
      </c>
      <c r="W249" s="3" t="s">
        <v>79</v>
      </c>
      <c r="X249" s="3" t="s">
        <v>111</v>
      </c>
      <c r="Y249" s="3" t="s">
        <v>94</v>
      </c>
    </row>
    <row r="250" spans="1:25">
      <c r="A250" s="3" t="s">
        <v>395</v>
      </c>
      <c r="B250" s="8">
        <v>46113</v>
      </c>
      <c r="C250" s="8">
        <v>46127</v>
      </c>
      <c r="D250" s="8">
        <v>46142</v>
      </c>
      <c r="E250" s="3" t="s">
        <v>83</v>
      </c>
      <c r="F250" s="3" t="s">
        <v>96</v>
      </c>
      <c r="G250" s="3" t="s">
        <v>163</v>
      </c>
      <c r="H250" s="3" t="s">
        <v>99</v>
      </c>
      <c r="I250" s="3" t="s">
        <v>164</v>
      </c>
      <c r="J250" s="3" t="s">
        <v>101</v>
      </c>
      <c r="K250" s="3" t="s">
        <v>76</v>
      </c>
      <c r="L250" s="3" t="s">
        <v>77</v>
      </c>
      <c r="M250" s="3" t="s">
        <v>147</v>
      </c>
      <c r="N250" s="3">
        <v>6</v>
      </c>
      <c r="O250" s="9">
        <v>119310</v>
      </c>
      <c r="P250" s="10">
        <v>18462</v>
      </c>
      <c r="Q250" s="10">
        <v>15066</v>
      </c>
      <c r="R250" s="11">
        <f>P250-Q250</f>
        <v>3396</v>
      </c>
      <c r="S250" s="12">
        <f>R250/P250</f>
        <v>0.18394540136496587</v>
      </c>
      <c r="T250" s="3">
        <v>15</v>
      </c>
      <c r="U250" s="3">
        <v>15</v>
      </c>
      <c r="V250" s="3" t="str">
        <f>IF(U250&lt;=T250+1,"On-Time","Late")</f>
        <v>On-Time</v>
      </c>
      <c r="W250" s="3" t="s">
        <v>79</v>
      </c>
      <c r="X250" s="3" t="s">
        <v>80</v>
      </c>
      <c r="Y250" s="3" t="s">
        <v>94</v>
      </c>
    </row>
    <row r="251" spans="1:25">
      <c r="A251" s="3" t="s">
        <v>396</v>
      </c>
      <c r="B251" s="8">
        <v>46029</v>
      </c>
      <c r="C251" s="8">
        <v>46041</v>
      </c>
      <c r="D251" s="8">
        <v>46045</v>
      </c>
      <c r="E251" s="3" t="s">
        <v>103</v>
      </c>
      <c r="F251" s="3" t="s">
        <v>96</v>
      </c>
      <c r="G251" s="3" t="s">
        <v>85</v>
      </c>
      <c r="H251" s="3" t="s">
        <v>119</v>
      </c>
      <c r="I251" s="3" t="s">
        <v>120</v>
      </c>
      <c r="J251" s="3" t="s">
        <v>121</v>
      </c>
      <c r="K251" s="3" t="s">
        <v>108</v>
      </c>
      <c r="L251" s="3" t="s">
        <v>109</v>
      </c>
      <c r="M251" s="3" t="s">
        <v>115</v>
      </c>
      <c r="N251" s="3">
        <v>2.1</v>
      </c>
      <c r="O251" s="9">
        <v>2100</v>
      </c>
      <c r="P251" s="10">
        <v>9002</v>
      </c>
      <c r="Q251" s="10">
        <v>7050</v>
      </c>
      <c r="R251" s="11">
        <f>P251-Q251</f>
        <v>1952</v>
      </c>
      <c r="S251" s="12">
        <f>R251/P251</f>
        <v>0.21684070206620751</v>
      </c>
      <c r="T251" s="3">
        <v>3</v>
      </c>
      <c r="U251" s="3">
        <v>4</v>
      </c>
      <c r="V251" s="3" t="str">
        <f>IF(U251&lt;=T251+1,"On-Time","Late")</f>
        <v>On-Time</v>
      </c>
      <c r="W251" s="3" t="s">
        <v>79</v>
      </c>
      <c r="X251" s="3" t="s">
        <v>111</v>
      </c>
      <c r="Y251" s="3" t="s">
        <v>81</v>
      </c>
    </row>
    <row r="252" spans="1:25">
      <c r="A252" s="3" t="s">
        <v>397</v>
      </c>
      <c r="B252" s="8">
        <v>46152</v>
      </c>
      <c r="C252" s="8">
        <v>46161</v>
      </c>
      <c r="D252" s="8">
        <v>46180</v>
      </c>
      <c r="E252" s="3" t="s">
        <v>83</v>
      </c>
      <c r="F252" s="3" t="s">
        <v>84</v>
      </c>
      <c r="G252" s="3" t="s">
        <v>85</v>
      </c>
      <c r="H252" s="3" t="s">
        <v>86</v>
      </c>
      <c r="I252" s="3" t="s">
        <v>87</v>
      </c>
      <c r="J252" s="3" t="s">
        <v>88</v>
      </c>
      <c r="K252" s="3" t="s">
        <v>128</v>
      </c>
      <c r="L252" s="3" t="s">
        <v>129</v>
      </c>
      <c r="M252" s="3" t="s">
        <v>167</v>
      </c>
      <c r="N252" s="3">
        <v>3</v>
      </c>
      <c r="O252" s="9">
        <v>52257</v>
      </c>
      <c r="P252" s="10">
        <v>8946</v>
      </c>
      <c r="Q252" s="10">
        <v>7939</v>
      </c>
      <c r="R252" s="11">
        <f>P252-Q252</f>
        <v>1007</v>
      </c>
      <c r="S252" s="12">
        <f>R252/P252</f>
        <v>0.11256427453610553</v>
      </c>
      <c r="T252" s="3">
        <v>18</v>
      </c>
      <c r="U252" s="3">
        <v>19</v>
      </c>
      <c r="V252" s="3" t="str">
        <f>IF(U252&lt;=T252+1,"On-Time","Late")</f>
        <v>On-Time</v>
      </c>
      <c r="W252" s="3" t="s">
        <v>79</v>
      </c>
      <c r="X252" s="3" t="s">
        <v>116</v>
      </c>
      <c r="Y252" s="3" t="s">
        <v>137</v>
      </c>
    </row>
    <row r="253" spans="1:25">
      <c r="A253" s="3" t="s">
        <v>398</v>
      </c>
      <c r="B253" s="8">
        <v>46074</v>
      </c>
      <c r="C253" s="8">
        <v>46088</v>
      </c>
      <c r="D253" s="8">
        <v>46092</v>
      </c>
      <c r="E253" s="3" t="s">
        <v>103</v>
      </c>
      <c r="F253" s="3" t="s">
        <v>96</v>
      </c>
      <c r="G253" s="3" t="s">
        <v>150</v>
      </c>
      <c r="H253" s="3" t="s">
        <v>119</v>
      </c>
      <c r="I253" s="3" t="s">
        <v>151</v>
      </c>
      <c r="J253" s="3" t="s">
        <v>121</v>
      </c>
      <c r="K253" s="3" t="s">
        <v>152</v>
      </c>
      <c r="L253" s="3" t="s">
        <v>153</v>
      </c>
      <c r="M253" s="3" t="s">
        <v>143</v>
      </c>
      <c r="N253" s="3">
        <v>4.5</v>
      </c>
      <c r="O253" s="9">
        <v>4500</v>
      </c>
      <c r="P253" s="10">
        <v>23926</v>
      </c>
      <c r="Q253" s="10">
        <v>18310</v>
      </c>
      <c r="R253" s="11">
        <f>P253-Q253</f>
        <v>5616</v>
      </c>
      <c r="S253" s="12">
        <f>R253/P253</f>
        <v>0.23472373150547521</v>
      </c>
      <c r="T253" s="3">
        <v>3</v>
      </c>
      <c r="U253" s="3">
        <v>4</v>
      </c>
      <c r="V253" s="3" t="str">
        <f>IF(U253&lt;=T253+1,"On-Time","Late")</f>
        <v>On-Time</v>
      </c>
      <c r="W253" s="3" t="s">
        <v>79</v>
      </c>
      <c r="X253" s="3" t="s">
        <v>111</v>
      </c>
      <c r="Y253" s="3" t="s">
        <v>117</v>
      </c>
    </row>
    <row r="254" spans="1:25">
      <c r="A254" s="3" t="s">
        <v>399</v>
      </c>
      <c r="B254" s="8">
        <v>46100</v>
      </c>
      <c r="C254" s="8">
        <v>46112</v>
      </c>
      <c r="D254" s="8">
        <v>46130</v>
      </c>
      <c r="E254" s="3" t="s">
        <v>83</v>
      </c>
      <c r="F254" s="3" t="s">
        <v>96</v>
      </c>
      <c r="G254" s="3" t="s">
        <v>85</v>
      </c>
      <c r="H254" s="3" t="s">
        <v>86</v>
      </c>
      <c r="I254" s="3" t="s">
        <v>87</v>
      </c>
      <c r="J254" s="3" t="s">
        <v>88</v>
      </c>
      <c r="K254" s="3" t="s">
        <v>156</v>
      </c>
      <c r="L254" s="3" t="s">
        <v>157</v>
      </c>
      <c r="M254" s="3" t="s">
        <v>167</v>
      </c>
      <c r="N254" s="3">
        <v>2</v>
      </c>
      <c r="O254" s="9">
        <v>33966</v>
      </c>
      <c r="P254" s="10">
        <v>4932</v>
      </c>
      <c r="Q254" s="10">
        <v>4289</v>
      </c>
      <c r="R254" s="11">
        <f>P254-Q254</f>
        <v>643</v>
      </c>
      <c r="S254" s="12">
        <f>R254/P254</f>
        <v>0.13037307380373073</v>
      </c>
      <c r="T254" s="3">
        <v>18</v>
      </c>
      <c r="U254" s="3">
        <v>18</v>
      </c>
      <c r="V254" s="3" t="str">
        <f>IF(U254&lt;=T254+1,"On-Time","Late")</f>
        <v>On-Time</v>
      </c>
      <c r="W254" s="3" t="s">
        <v>79</v>
      </c>
      <c r="X254" s="3" t="s">
        <v>111</v>
      </c>
      <c r="Y254" s="3" t="s">
        <v>137</v>
      </c>
    </row>
    <row r="255" spans="1:25">
      <c r="A255" s="3" t="s">
        <v>400</v>
      </c>
      <c r="B255" s="8">
        <v>46146</v>
      </c>
      <c r="C255" s="8">
        <v>46151</v>
      </c>
      <c r="D255" s="8">
        <v>46154</v>
      </c>
      <c r="E255" s="3" t="s">
        <v>103</v>
      </c>
      <c r="F255" s="3" t="s">
        <v>96</v>
      </c>
      <c r="G255" s="3" t="s">
        <v>132</v>
      </c>
      <c r="H255" s="3" t="s">
        <v>105</v>
      </c>
      <c r="I255" s="3" t="s">
        <v>133</v>
      </c>
      <c r="J255" s="3" t="s">
        <v>107</v>
      </c>
      <c r="K255" s="3" t="s">
        <v>113</v>
      </c>
      <c r="L255" s="3" t="s">
        <v>114</v>
      </c>
      <c r="M255" s="3" t="s">
        <v>110</v>
      </c>
      <c r="N255" s="3">
        <v>1.8</v>
      </c>
      <c r="O255" s="9">
        <v>1800</v>
      </c>
      <c r="P255" s="10">
        <v>6957</v>
      </c>
      <c r="Q255" s="10">
        <v>5382</v>
      </c>
      <c r="R255" s="11">
        <f>P255-Q255</f>
        <v>1575</v>
      </c>
      <c r="S255" s="12">
        <f>R255/P255</f>
        <v>0.22639068564036222</v>
      </c>
      <c r="T255" s="3">
        <v>2</v>
      </c>
      <c r="U255" s="3">
        <v>3</v>
      </c>
      <c r="V255" s="3" t="str">
        <f>IF(U255&lt;=T255+1,"On-Time","Late")</f>
        <v>On-Time</v>
      </c>
      <c r="W255" s="3" t="s">
        <v>79</v>
      </c>
      <c r="X255" s="3" t="s">
        <v>116</v>
      </c>
      <c r="Y255" s="3" t="s">
        <v>117</v>
      </c>
    </row>
    <row r="256" spans="1:25">
      <c r="A256" s="3" t="s">
        <v>401</v>
      </c>
      <c r="B256" s="8">
        <v>46168</v>
      </c>
      <c r="C256" s="8">
        <v>46175</v>
      </c>
      <c r="D256" s="8">
        <v>46195</v>
      </c>
      <c r="E256" s="3" t="s">
        <v>83</v>
      </c>
      <c r="F256" s="3" t="s">
        <v>84</v>
      </c>
      <c r="G256" s="3" t="s">
        <v>126</v>
      </c>
      <c r="H256" s="3" t="s">
        <v>86</v>
      </c>
      <c r="I256" s="3" t="s">
        <v>127</v>
      </c>
      <c r="J256" s="3" t="s">
        <v>88</v>
      </c>
      <c r="K256" s="3" t="s">
        <v>128</v>
      </c>
      <c r="L256" s="3" t="s">
        <v>129</v>
      </c>
      <c r="M256" s="3" t="s">
        <v>136</v>
      </c>
      <c r="N256" s="3">
        <v>2</v>
      </c>
      <c r="O256" s="9">
        <v>35834</v>
      </c>
      <c r="P256" s="10">
        <v>4652</v>
      </c>
      <c r="Q256" s="10">
        <v>3819</v>
      </c>
      <c r="R256" s="11">
        <f>P256-Q256</f>
        <v>833</v>
      </c>
      <c r="S256" s="12">
        <f>R256/P256</f>
        <v>0.17906276870163371</v>
      </c>
      <c r="T256" s="3">
        <v>19</v>
      </c>
      <c r="U256" s="3">
        <v>20</v>
      </c>
      <c r="V256" s="3" t="str">
        <f>IF(U256&lt;=T256+1,"On-Time","Late")</f>
        <v>On-Time</v>
      </c>
      <c r="W256" s="3" t="s">
        <v>134</v>
      </c>
      <c r="X256" s="3" t="s">
        <v>116</v>
      </c>
      <c r="Y256" s="3" t="s">
        <v>137</v>
      </c>
    </row>
    <row r="257" spans="1:25">
      <c r="A257" s="3" t="s">
        <v>402</v>
      </c>
      <c r="B257" s="8">
        <v>46130</v>
      </c>
      <c r="C257" s="8">
        <v>46139</v>
      </c>
      <c r="D257" s="8">
        <v>46142</v>
      </c>
      <c r="E257" s="3" t="s">
        <v>103</v>
      </c>
      <c r="F257" s="3" t="s">
        <v>96</v>
      </c>
      <c r="G257" s="3" t="s">
        <v>104</v>
      </c>
      <c r="H257" s="3" t="s">
        <v>105</v>
      </c>
      <c r="I257" s="3" t="s">
        <v>106</v>
      </c>
      <c r="J257" s="3" t="s">
        <v>107</v>
      </c>
      <c r="K257" s="3" t="s">
        <v>108</v>
      </c>
      <c r="L257" s="3" t="s">
        <v>109</v>
      </c>
      <c r="M257" s="3" t="s">
        <v>110</v>
      </c>
      <c r="N257" s="3">
        <v>2.2000000000000002</v>
      </c>
      <c r="O257" s="9">
        <v>2200</v>
      </c>
      <c r="P257" s="10">
        <v>10106</v>
      </c>
      <c r="Q257" s="10">
        <v>8134</v>
      </c>
      <c r="R257" s="11">
        <f>P257-Q257</f>
        <v>1972</v>
      </c>
      <c r="S257" s="12">
        <f>R257/P257</f>
        <v>0.19513160498713636</v>
      </c>
      <c r="T257" s="3">
        <v>2</v>
      </c>
      <c r="U257" s="3">
        <v>3</v>
      </c>
      <c r="V257" s="3" t="str">
        <f>IF(U257&lt;=T257+1,"On-Time","Late")</f>
        <v>On-Time</v>
      </c>
      <c r="W257" s="3" t="s">
        <v>79</v>
      </c>
      <c r="X257" s="3" t="s">
        <v>111</v>
      </c>
      <c r="Y257" s="3" t="s">
        <v>94</v>
      </c>
    </row>
    <row r="258" spans="1:25">
      <c r="A258" s="3" t="s">
        <v>403</v>
      </c>
      <c r="B258" s="8">
        <v>46166</v>
      </c>
      <c r="C258" s="8">
        <v>46172</v>
      </c>
      <c r="D258" s="8">
        <v>46186</v>
      </c>
      <c r="E258" s="3" t="s">
        <v>83</v>
      </c>
      <c r="F258" s="3" t="s">
        <v>96</v>
      </c>
      <c r="G258" s="3" t="s">
        <v>98</v>
      </c>
      <c r="H258" s="3" t="s">
        <v>99</v>
      </c>
      <c r="I258" s="3" t="s">
        <v>100</v>
      </c>
      <c r="J258" s="3" t="s">
        <v>101</v>
      </c>
      <c r="K258" s="3" t="s">
        <v>76</v>
      </c>
      <c r="L258" s="3" t="s">
        <v>77</v>
      </c>
      <c r="M258" s="3" t="s">
        <v>91</v>
      </c>
      <c r="N258" s="3">
        <v>2</v>
      </c>
      <c r="O258" s="9">
        <v>24466</v>
      </c>
      <c r="P258" s="10">
        <v>5216</v>
      </c>
      <c r="Q258" s="10">
        <v>4257</v>
      </c>
      <c r="R258" s="11">
        <f>P258-Q258</f>
        <v>959</v>
      </c>
      <c r="S258" s="12">
        <f>R258/P258</f>
        <v>0.18385736196319019</v>
      </c>
      <c r="T258" s="3">
        <v>14</v>
      </c>
      <c r="U258" s="3">
        <v>14</v>
      </c>
      <c r="V258" s="3" t="str">
        <f>IF(U258&lt;=T258+1,"On-Time","Late")</f>
        <v>On-Time</v>
      </c>
      <c r="W258" s="3" t="s">
        <v>183</v>
      </c>
      <c r="X258" s="3" t="s">
        <v>80</v>
      </c>
      <c r="Y258" s="3" t="s">
        <v>81</v>
      </c>
    </row>
    <row r="259" spans="1:25">
      <c r="A259" s="3" t="s">
        <v>404</v>
      </c>
      <c r="B259" s="8">
        <v>46107</v>
      </c>
      <c r="C259" s="8">
        <v>46113</v>
      </c>
      <c r="D259" s="8">
        <v>46132</v>
      </c>
      <c r="E259" s="3" t="s">
        <v>83</v>
      </c>
      <c r="F259" s="3" t="s">
        <v>84</v>
      </c>
      <c r="G259" s="3" t="s">
        <v>85</v>
      </c>
      <c r="H259" s="3" t="s">
        <v>86</v>
      </c>
      <c r="I259" s="3" t="s">
        <v>87</v>
      </c>
      <c r="J259" s="3" t="s">
        <v>88</v>
      </c>
      <c r="K259" s="3" t="s">
        <v>156</v>
      </c>
      <c r="L259" s="3" t="s">
        <v>157</v>
      </c>
      <c r="M259" s="3" t="s">
        <v>91</v>
      </c>
      <c r="N259" s="3">
        <v>1</v>
      </c>
      <c r="O259" s="9">
        <v>9907</v>
      </c>
      <c r="P259" s="10">
        <v>2386</v>
      </c>
      <c r="Q259" s="10">
        <v>2107</v>
      </c>
      <c r="R259" s="11">
        <f>P259-Q259</f>
        <v>279</v>
      </c>
      <c r="S259" s="12">
        <f>R259/P259</f>
        <v>0.11693210393964795</v>
      </c>
      <c r="T259" s="3">
        <v>18</v>
      </c>
      <c r="U259" s="3">
        <v>19</v>
      </c>
      <c r="V259" s="3" t="str">
        <f>IF(U259&lt;=T259+1,"On-Time","Late")</f>
        <v>On-Time</v>
      </c>
      <c r="W259" s="3" t="s">
        <v>79</v>
      </c>
      <c r="X259" s="3" t="s">
        <v>111</v>
      </c>
      <c r="Y259" s="3" t="s">
        <v>94</v>
      </c>
    </row>
    <row r="260" spans="1:25">
      <c r="A260" s="3" t="s">
        <v>405</v>
      </c>
      <c r="B260" s="8">
        <v>46101</v>
      </c>
      <c r="C260" s="8">
        <v>46110</v>
      </c>
      <c r="D260" s="8">
        <v>46113</v>
      </c>
      <c r="E260" s="3" t="s">
        <v>103</v>
      </c>
      <c r="F260" s="3" t="s">
        <v>71</v>
      </c>
      <c r="G260" s="3" t="s">
        <v>132</v>
      </c>
      <c r="H260" s="3" t="s">
        <v>105</v>
      </c>
      <c r="I260" s="3" t="s">
        <v>133</v>
      </c>
      <c r="J260" s="3" t="s">
        <v>107</v>
      </c>
      <c r="K260" s="3" t="s">
        <v>113</v>
      </c>
      <c r="L260" s="3" t="s">
        <v>114</v>
      </c>
      <c r="M260" s="3" t="s">
        <v>143</v>
      </c>
      <c r="N260" s="3">
        <v>2</v>
      </c>
      <c r="O260" s="9">
        <v>2000</v>
      </c>
      <c r="P260" s="10">
        <v>8196</v>
      </c>
      <c r="Q260" s="10">
        <v>6552</v>
      </c>
      <c r="R260" s="11">
        <f>P260-Q260</f>
        <v>1644</v>
      </c>
      <c r="S260" s="12">
        <f>R260/P260</f>
        <v>0.20058565153733529</v>
      </c>
      <c r="T260" s="3">
        <v>2</v>
      </c>
      <c r="U260" s="3">
        <v>3</v>
      </c>
      <c r="V260" s="3" t="str">
        <f>IF(U260&lt;=T260+1,"On-Time","Late")</f>
        <v>On-Time</v>
      </c>
      <c r="W260" s="3" t="s">
        <v>79</v>
      </c>
      <c r="X260" s="3" t="s">
        <v>116</v>
      </c>
      <c r="Y260" s="3" t="s">
        <v>117</v>
      </c>
    </row>
    <row r="261" spans="1:25">
      <c r="A261" s="3" t="s">
        <v>406</v>
      </c>
      <c r="B261" s="8">
        <v>46150</v>
      </c>
      <c r="C261" s="8">
        <v>46163</v>
      </c>
      <c r="D261" s="8">
        <v>46165</v>
      </c>
      <c r="E261" s="3" t="s">
        <v>103</v>
      </c>
      <c r="F261" s="3" t="s">
        <v>149</v>
      </c>
      <c r="G261" s="3" t="s">
        <v>104</v>
      </c>
      <c r="H261" s="3" t="s">
        <v>105</v>
      </c>
      <c r="I261" s="3" t="s">
        <v>106</v>
      </c>
      <c r="J261" s="3" t="s">
        <v>107</v>
      </c>
      <c r="K261" s="3" t="s">
        <v>108</v>
      </c>
      <c r="L261" s="3" t="s">
        <v>109</v>
      </c>
      <c r="M261" s="3" t="s">
        <v>143</v>
      </c>
      <c r="N261" s="3">
        <v>2.2999999999999998</v>
      </c>
      <c r="O261" s="9">
        <v>2300</v>
      </c>
      <c r="P261" s="10">
        <v>10616</v>
      </c>
      <c r="Q261" s="10">
        <v>8580</v>
      </c>
      <c r="R261" s="11">
        <f>P261-Q261</f>
        <v>2036</v>
      </c>
      <c r="S261" s="12">
        <f>R261/P261</f>
        <v>0.19178598342125094</v>
      </c>
      <c r="T261" s="3">
        <v>2</v>
      </c>
      <c r="U261" s="3">
        <v>2</v>
      </c>
      <c r="V261" s="3" t="str">
        <f>IF(U261&lt;=T261+1,"On-Time","Late")</f>
        <v>On-Time</v>
      </c>
      <c r="W261" s="3" t="s">
        <v>79</v>
      </c>
      <c r="X261" s="3" t="s">
        <v>111</v>
      </c>
      <c r="Y261" s="3" t="s">
        <v>92</v>
      </c>
    </row>
    <row r="262" spans="1:25">
      <c r="A262" s="3" t="s">
        <v>407</v>
      </c>
      <c r="B262" s="8">
        <v>46027</v>
      </c>
      <c r="C262" s="8">
        <v>46039</v>
      </c>
      <c r="D262" s="8">
        <v>46043</v>
      </c>
      <c r="E262" s="3" t="s">
        <v>103</v>
      </c>
      <c r="F262" s="3" t="s">
        <v>149</v>
      </c>
      <c r="G262" s="3" t="s">
        <v>150</v>
      </c>
      <c r="H262" s="3" t="s">
        <v>119</v>
      </c>
      <c r="I262" s="3" t="s">
        <v>151</v>
      </c>
      <c r="J262" s="3" t="s">
        <v>121</v>
      </c>
      <c r="K262" s="3" t="s">
        <v>160</v>
      </c>
      <c r="L262" s="3" t="s">
        <v>161</v>
      </c>
      <c r="M262" s="3" t="s">
        <v>110</v>
      </c>
      <c r="N262" s="3">
        <v>0.8</v>
      </c>
      <c r="O262" s="9">
        <v>800</v>
      </c>
      <c r="P262" s="10">
        <v>4056</v>
      </c>
      <c r="Q262" s="10">
        <v>3149</v>
      </c>
      <c r="R262" s="11">
        <f>P262-Q262</f>
        <v>907</v>
      </c>
      <c r="S262" s="12">
        <f>R262/P262</f>
        <v>0.22361932938856016</v>
      </c>
      <c r="T262" s="3">
        <v>3</v>
      </c>
      <c r="U262" s="3">
        <v>4</v>
      </c>
      <c r="V262" s="3" t="str">
        <f>IF(U262&lt;=T262+1,"On-Time","Late")</f>
        <v>On-Time</v>
      </c>
      <c r="W262" s="3" t="s">
        <v>79</v>
      </c>
      <c r="X262" s="3" t="s">
        <v>116</v>
      </c>
      <c r="Y262" s="3" t="s">
        <v>81</v>
      </c>
    </row>
    <row r="263" spans="1:25">
      <c r="A263" s="3" t="s">
        <v>408</v>
      </c>
      <c r="B263" s="8">
        <v>46110</v>
      </c>
      <c r="C263" s="8">
        <v>46117</v>
      </c>
      <c r="D263" s="8">
        <v>46119</v>
      </c>
      <c r="E263" s="3" t="s">
        <v>103</v>
      </c>
      <c r="F263" s="3" t="s">
        <v>71</v>
      </c>
      <c r="G263" s="3" t="s">
        <v>132</v>
      </c>
      <c r="H263" s="3" t="s">
        <v>105</v>
      </c>
      <c r="I263" s="3" t="s">
        <v>133</v>
      </c>
      <c r="J263" s="3" t="s">
        <v>107</v>
      </c>
      <c r="K263" s="3" t="s">
        <v>113</v>
      </c>
      <c r="L263" s="3" t="s">
        <v>114</v>
      </c>
      <c r="M263" s="3" t="s">
        <v>110</v>
      </c>
      <c r="N263" s="3">
        <v>1.1000000000000001</v>
      </c>
      <c r="O263" s="9">
        <v>1100</v>
      </c>
      <c r="P263" s="10">
        <v>4343</v>
      </c>
      <c r="Q263" s="10">
        <v>3508</v>
      </c>
      <c r="R263" s="11">
        <f>P263-Q263</f>
        <v>835</v>
      </c>
      <c r="S263" s="12">
        <f>R263/P263</f>
        <v>0.19226341238775041</v>
      </c>
      <c r="T263" s="3">
        <v>2</v>
      </c>
      <c r="U263" s="3">
        <v>2</v>
      </c>
      <c r="V263" s="3" t="str">
        <f>IF(U263&lt;=T263+1,"On-Time","Late")</f>
        <v>On-Time</v>
      </c>
      <c r="W263" s="3" t="s">
        <v>79</v>
      </c>
      <c r="X263" s="3" t="s">
        <v>116</v>
      </c>
      <c r="Y263" s="3" t="s">
        <v>117</v>
      </c>
    </row>
    <row r="264" spans="1:25">
      <c r="A264" s="3" t="s">
        <v>409</v>
      </c>
      <c r="B264" s="8">
        <v>46110</v>
      </c>
      <c r="C264" s="8">
        <v>46118</v>
      </c>
      <c r="D264" s="8">
        <v>46120</v>
      </c>
      <c r="E264" s="3" t="s">
        <v>70</v>
      </c>
      <c r="F264" s="3" t="s">
        <v>149</v>
      </c>
      <c r="G264" s="3" t="s">
        <v>72</v>
      </c>
      <c r="H264" s="3" t="s">
        <v>73</v>
      </c>
      <c r="I264" s="3" t="s">
        <v>74</v>
      </c>
      <c r="J264" s="3" t="s">
        <v>75</v>
      </c>
      <c r="K264" s="3" t="s">
        <v>123</v>
      </c>
      <c r="L264" s="3" t="s">
        <v>124</v>
      </c>
      <c r="M264" s="3" t="s">
        <v>219</v>
      </c>
      <c r="N264" s="3">
        <v>12.3</v>
      </c>
      <c r="O264" s="9">
        <v>12300</v>
      </c>
      <c r="P264" s="10">
        <v>1419</v>
      </c>
      <c r="Q264" s="10">
        <v>1096</v>
      </c>
      <c r="R264" s="11">
        <f>P264-Q264</f>
        <v>323</v>
      </c>
      <c r="S264" s="12">
        <f>R264/P264</f>
        <v>0.22762508809020437</v>
      </c>
      <c r="T264" s="3">
        <v>2</v>
      </c>
      <c r="U264" s="3">
        <v>2</v>
      </c>
      <c r="V264" s="3" t="str">
        <f>IF(U264&lt;=T264+1,"On-Time","Late")</f>
        <v>On-Time</v>
      </c>
      <c r="W264" s="3" t="s">
        <v>79</v>
      </c>
      <c r="X264" s="3" t="s">
        <v>80</v>
      </c>
      <c r="Y264" s="3" t="s">
        <v>137</v>
      </c>
    </row>
    <row r="265" spans="1:25">
      <c r="A265" s="3" t="s">
        <v>410</v>
      </c>
      <c r="B265" s="8">
        <v>46074</v>
      </c>
      <c r="C265" s="8">
        <v>46080</v>
      </c>
      <c r="D265" s="8">
        <v>46084</v>
      </c>
      <c r="E265" s="3" t="s">
        <v>103</v>
      </c>
      <c r="F265" s="3" t="s">
        <v>71</v>
      </c>
      <c r="G265" s="3" t="s">
        <v>150</v>
      </c>
      <c r="H265" s="3" t="s">
        <v>119</v>
      </c>
      <c r="I265" s="3" t="s">
        <v>151</v>
      </c>
      <c r="J265" s="3" t="s">
        <v>121</v>
      </c>
      <c r="K265" s="3" t="s">
        <v>160</v>
      </c>
      <c r="L265" s="3" t="s">
        <v>161</v>
      </c>
      <c r="M265" s="3" t="s">
        <v>143</v>
      </c>
      <c r="N265" s="3">
        <v>4</v>
      </c>
      <c r="O265" s="9">
        <v>4000</v>
      </c>
      <c r="P265" s="10">
        <v>17712</v>
      </c>
      <c r="Q265" s="10">
        <v>13777</v>
      </c>
      <c r="R265" s="11">
        <f>P265-Q265</f>
        <v>3935</v>
      </c>
      <c r="S265" s="12">
        <f>R265/P265</f>
        <v>0.22216576332429991</v>
      </c>
      <c r="T265" s="3">
        <v>3</v>
      </c>
      <c r="U265" s="3">
        <v>4</v>
      </c>
      <c r="V265" s="3" t="str">
        <f>IF(U265&lt;=T265+1,"On-Time","Late")</f>
        <v>On-Time</v>
      </c>
      <c r="W265" s="3" t="s">
        <v>79</v>
      </c>
      <c r="X265" s="3" t="s">
        <v>116</v>
      </c>
      <c r="Y265" s="3" t="s">
        <v>117</v>
      </c>
    </row>
    <row r="266" spans="1:25">
      <c r="A266" s="3" t="s">
        <v>411</v>
      </c>
      <c r="B266" s="8">
        <v>46130</v>
      </c>
      <c r="C266" s="8">
        <v>46142</v>
      </c>
      <c r="D266" s="8">
        <v>46161</v>
      </c>
      <c r="E266" s="3" t="s">
        <v>83</v>
      </c>
      <c r="F266" s="3" t="s">
        <v>96</v>
      </c>
      <c r="G266" s="3" t="s">
        <v>140</v>
      </c>
      <c r="H266" s="3" t="s">
        <v>86</v>
      </c>
      <c r="I266" s="3" t="s">
        <v>141</v>
      </c>
      <c r="J266" s="3" t="s">
        <v>88</v>
      </c>
      <c r="K266" s="3" t="s">
        <v>89</v>
      </c>
      <c r="L266" s="3" t="s">
        <v>90</v>
      </c>
      <c r="M266" s="3" t="s">
        <v>91</v>
      </c>
      <c r="N266" s="3">
        <v>2</v>
      </c>
      <c r="O266" s="9">
        <v>23774</v>
      </c>
      <c r="P266" s="10">
        <v>6422</v>
      </c>
      <c r="Q266" s="10">
        <v>5158</v>
      </c>
      <c r="R266" s="11">
        <f>P266-Q266</f>
        <v>1264</v>
      </c>
      <c r="S266" s="12">
        <f>R266/P266</f>
        <v>0.19682341949548426</v>
      </c>
      <c r="T266" s="3">
        <v>18</v>
      </c>
      <c r="U266" s="3">
        <v>19</v>
      </c>
      <c r="V266" s="3" t="str">
        <f>IF(U266&lt;=T266+1,"On-Time","Late")</f>
        <v>On-Time</v>
      </c>
      <c r="W266" s="3" t="s">
        <v>79</v>
      </c>
      <c r="X266" s="3" t="s">
        <v>80</v>
      </c>
      <c r="Y266" s="3" t="s">
        <v>92</v>
      </c>
    </row>
    <row r="267" spans="1:25">
      <c r="A267" s="3" t="s">
        <v>412</v>
      </c>
      <c r="B267" s="8">
        <v>46086</v>
      </c>
      <c r="C267" s="8">
        <v>46097</v>
      </c>
      <c r="D267" s="8">
        <v>46099</v>
      </c>
      <c r="E267" s="3" t="s">
        <v>103</v>
      </c>
      <c r="F267" s="3" t="s">
        <v>71</v>
      </c>
      <c r="G267" s="3" t="s">
        <v>132</v>
      </c>
      <c r="H267" s="3" t="s">
        <v>105</v>
      </c>
      <c r="I267" s="3" t="s">
        <v>133</v>
      </c>
      <c r="J267" s="3" t="s">
        <v>107</v>
      </c>
      <c r="K267" s="3" t="s">
        <v>113</v>
      </c>
      <c r="L267" s="3" t="s">
        <v>114</v>
      </c>
      <c r="M267" s="3" t="s">
        <v>115</v>
      </c>
      <c r="N267" s="3">
        <v>4.8</v>
      </c>
      <c r="O267" s="9">
        <v>4800</v>
      </c>
      <c r="P267" s="10">
        <v>20025</v>
      </c>
      <c r="Q267" s="10">
        <v>16118</v>
      </c>
      <c r="R267" s="11">
        <f>P267-Q267</f>
        <v>3907</v>
      </c>
      <c r="S267" s="12">
        <f>R267/P267</f>
        <v>0.19510611735330838</v>
      </c>
      <c r="T267" s="3">
        <v>2</v>
      </c>
      <c r="U267" s="3">
        <v>2</v>
      </c>
      <c r="V267" s="3" t="str">
        <f>IF(U267&lt;=T267+1,"On-Time","Late")</f>
        <v>On-Time</v>
      </c>
      <c r="W267" s="3" t="s">
        <v>79</v>
      </c>
      <c r="X267" s="3" t="s">
        <v>116</v>
      </c>
      <c r="Y267" s="3" t="s">
        <v>137</v>
      </c>
    </row>
    <row r="268" spans="1:25">
      <c r="A268" s="3" t="s">
        <v>413</v>
      </c>
      <c r="B268" s="8">
        <v>46039</v>
      </c>
      <c r="C268" s="8">
        <v>46045</v>
      </c>
      <c r="D268" s="8">
        <v>46064</v>
      </c>
      <c r="E268" s="3" t="s">
        <v>83</v>
      </c>
      <c r="F268" s="3" t="s">
        <v>96</v>
      </c>
      <c r="G268" s="3" t="s">
        <v>126</v>
      </c>
      <c r="H268" s="3" t="s">
        <v>86</v>
      </c>
      <c r="I268" s="3" t="s">
        <v>127</v>
      </c>
      <c r="J268" s="3" t="s">
        <v>88</v>
      </c>
      <c r="K268" s="3" t="s">
        <v>156</v>
      </c>
      <c r="L268" s="3" t="s">
        <v>157</v>
      </c>
      <c r="M268" s="3" t="s">
        <v>147</v>
      </c>
      <c r="N268" s="3">
        <v>1</v>
      </c>
      <c r="O268" s="9">
        <v>17133</v>
      </c>
      <c r="P268" s="10">
        <v>2996</v>
      </c>
      <c r="Q268" s="10">
        <v>2476</v>
      </c>
      <c r="R268" s="11">
        <f>P268-Q268</f>
        <v>520</v>
      </c>
      <c r="S268" s="12">
        <f>R268/P268</f>
        <v>0.17356475300400534</v>
      </c>
      <c r="T268" s="3">
        <v>19</v>
      </c>
      <c r="U268" s="3">
        <v>19</v>
      </c>
      <c r="V268" s="3" t="str">
        <f>IF(U268&lt;=T268+1,"On-Time","Late")</f>
        <v>On-Time</v>
      </c>
      <c r="W268" s="3" t="s">
        <v>79</v>
      </c>
      <c r="X268" s="3" t="s">
        <v>111</v>
      </c>
      <c r="Y268" s="3" t="s">
        <v>117</v>
      </c>
    </row>
    <row r="269" spans="1:25">
      <c r="A269" s="3" t="s">
        <v>414</v>
      </c>
      <c r="B269" s="8">
        <v>46021</v>
      </c>
      <c r="C269" s="8">
        <v>46033</v>
      </c>
      <c r="D269" s="8">
        <v>46052</v>
      </c>
      <c r="E269" s="3" t="s">
        <v>83</v>
      </c>
      <c r="F269" s="3" t="s">
        <v>96</v>
      </c>
      <c r="G269" s="3" t="s">
        <v>126</v>
      </c>
      <c r="H269" s="3" t="s">
        <v>86</v>
      </c>
      <c r="I269" s="3" t="s">
        <v>127</v>
      </c>
      <c r="J269" s="3" t="s">
        <v>88</v>
      </c>
      <c r="K269" s="3" t="s">
        <v>160</v>
      </c>
      <c r="L269" s="3" t="s">
        <v>161</v>
      </c>
      <c r="M269" s="3" t="s">
        <v>130</v>
      </c>
      <c r="N269" s="3">
        <v>2</v>
      </c>
      <c r="O269" s="9">
        <v>29204</v>
      </c>
      <c r="P269" s="10">
        <v>5464</v>
      </c>
      <c r="Q269" s="10">
        <v>4439</v>
      </c>
      <c r="R269" s="11">
        <f>P269-Q269</f>
        <v>1025</v>
      </c>
      <c r="S269" s="12">
        <f>R269/P269</f>
        <v>0.18759150805270863</v>
      </c>
      <c r="T269" s="3">
        <v>19</v>
      </c>
      <c r="U269" s="3">
        <v>19</v>
      </c>
      <c r="V269" s="3" t="str">
        <f>IF(U269&lt;=T269+1,"On-Time","Late")</f>
        <v>On-Time</v>
      </c>
      <c r="W269" s="3" t="s">
        <v>79</v>
      </c>
      <c r="X269" s="3" t="s">
        <v>116</v>
      </c>
      <c r="Y269" s="3" t="s">
        <v>94</v>
      </c>
    </row>
    <row r="270" spans="1:25">
      <c r="A270" s="3" t="s">
        <v>415</v>
      </c>
      <c r="B270" s="8">
        <v>46095</v>
      </c>
      <c r="C270" s="8">
        <v>46107</v>
      </c>
      <c r="D270" s="8">
        <v>46126</v>
      </c>
      <c r="E270" s="3" t="s">
        <v>83</v>
      </c>
      <c r="F270" s="3" t="s">
        <v>96</v>
      </c>
      <c r="G270" s="3" t="s">
        <v>126</v>
      </c>
      <c r="H270" s="3" t="s">
        <v>86</v>
      </c>
      <c r="I270" s="3" t="s">
        <v>127</v>
      </c>
      <c r="J270" s="3" t="s">
        <v>88</v>
      </c>
      <c r="K270" s="3" t="s">
        <v>128</v>
      </c>
      <c r="L270" s="3" t="s">
        <v>129</v>
      </c>
      <c r="M270" s="3" t="s">
        <v>167</v>
      </c>
      <c r="N270" s="3">
        <v>2</v>
      </c>
      <c r="O270" s="9">
        <v>31498</v>
      </c>
      <c r="P270" s="10">
        <v>6210</v>
      </c>
      <c r="Q270" s="10">
        <v>5094</v>
      </c>
      <c r="R270" s="11">
        <f>P270-Q270</f>
        <v>1116</v>
      </c>
      <c r="S270" s="12">
        <f>R270/P270</f>
        <v>0.17971014492753623</v>
      </c>
      <c r="T270" s="3">
        <v>19</v>
      </c>
      <c r="U270" s="3">
        <v>19</v>
      </c>
      <c r="V270" s="3" t="str">
        <f>IF(U270&lt;=T270+1,"On-Time","Late")</f>
        <v>On-Time</v>
      </c>
      <c r="W270" s="3" t="s">
        <v>79</v>
      </c>
      <c r="X270" s="3" t="s">
        <v>116</v>
      </c>
      <c r="Y270" s="3" t="s">
        <v>92</v>
      </c>
    </row>
    <row r="271" spans="1:25">
      <c r="A271" s="3" t="s">
        <v>416</v>
      </c>
      <c r="B271" s="8">
        <v>46160</v>
      </c>
      <c r="C271" s="8">
        <v>46171</v>
      </c>
      <c r="D271" s="8">
        <v>46173</v>
      </c>
      <c r="E271" s="3" t="s">
        <v>103</v>
      </c>
      <c r="F271" s="3" t="s">
        <v>96</v>
      </c>
      <c r="G271" s="3" t="s">
        <v>132</v>
      </c>
      <c r="H271" s="3" t="s">
        <v>105</v>
      </c>
      <c r="I271" s="3" t="s">
        <v>133</v>
      </c>
      <c r="J271" s="3" t="s">
        <v>107</v>
      </c>
      <c r="K271" s="3" t="s">
        <v>113</v>
      </c>
      <c r="L271" s="3" t="s">
        <v>114</v>
      </c>
      <c r="M271" s="3" t="s">
        <v>115</v>
      </c>
      <c r="N271" s="3">
        <v>0.9</v>
      </c>
      <c r="O271" s="9">
        <v>900</v>
      </c>
      <c r="P271" s="10">
        <v>3679</v>
      </c>
      <c r="Q271" s="10">
        <v>2869</v>
      </c>
      <c r="R271" s="11">
        <f>P271-Q271</f>
        <v>810</v>
      </c>
      <c r="S271" s="12">
        <f>R271/P271</f>
        <v>0.22016852405544984</v>
      </c>
      <c r="T271" s="3">
        <v>2</v>
      </c>
      <c r="U271" s="3">
        <v>2</v>
      </c>
      <c r="V271" s="3" t="str">
        <f>IF(U271&lt;=T271+1,"On-Time","Late")</f>
        <v>On-Time</v>
      </c>
      <c r="W271" s="3" t="s">
        <v>183</v>
      </c>
      <c r="X271" s="3" t="s">
        <v>116</v>
      </c>
      <c r="Y271" s="3" t="s">
        <v>94</v>
      </c>
    </row>
    <row r="272" spans="1:25">
      <c r="A272" s="3" t="s">
        <v>417</v>
      </c>
      <c r="B272" s="8">
        <v>46023</v>
      </c>
      <c r="C272" s="8">
        <v>46036</v>
      </c>
      <c r="D272" s="8">
        <v>46055</v>
      </c>
      <c r="E272" s="3" t="s">
        <v>83</v>
      </c>
      <c r="F272" s="3" t="s">
        <v>84</v>
      </c>
      <c r="G272" s="3" t="s">
        <v>85</v>
      </c>
      <c r="H272" s="3" t="s">
        <v>86</v>
      </c>
      <c r="I272" s="3" t="s">
        <v>87</v>
      </c>
      <c r="J272" s="3" t="s">
        <v>88</v>
      </c>
      <c r="K272" s="3" t="s">
        <v>89</v>
      </c>
      <c r="L272" s="3" t="s">
        <v>90</v>
      </c>
      <c r="M272" s="3" t="s">
        <v>130</v>
      </c>
      <c r="N272" s="3">
        <v>1</v>
      </c>
      <c r="O272" s="9">
        <v>14336</v>
      </c>
      <c r="P272" s="10">
        <v>3004</v>
      </c>
      <c r="Q272" s="10">
        <v>2495</v>
      </c>
      <c r="R272" s="11">
        <f>P272-Q272</f>
        <v>509</v>
      </c>
      <c r="S272" s="12">
        <f>R272/P272</f>
        <v>0.16944074567243675</v>
      </c>
      <c r="T272" s="3">
        <v>18</v>
      </c>
      <c r="U272" s="3">
        <v>19</v>
      </c>
      <c r="V272" s="3" t="str">
        <f>IF(U272&lt;=T272+1,"On-Time","Late")</f>
        <v>On-Time</v>
      </c>
      <c r="W272" s="3" t="s">
        <v>79</v>
      </c>
      <c r="X272" s="3" t="s">
        <v>80</v>
      </c>
      <c r="Y272" s="3" t="s">
        <v>94</v>
      </c>
    </row>
    <row r="273" spans="1:25">
      <c r="A273" s="3" t="s">
        <v>418</v>
      </c>
      <c r="B273" s="8">
        <v>46027</v>
      </c>
      <c r="C273" s="8">
        <v>46034</v>
      </c>
      <c r="D273" s="8">
        <v>46036</v>
      </c>
      <c r="E273" s="3" t="s">
        <v>103</v>
      </c>
      <c r="F273" s="3" t="s">
        <v>71</v>
      </c>
      <c r="G273" s="3" t="s">
        <v>104</v>
      </c>
      <c r="H273" s="3" t="s">
        <v>105</v>
      </c>
      <c r="I273" s="3" t="s">
        <v>106</v>
      </c>
      <c r="J273" s="3" t="s">
        <v>107</v>
      </c>
      <c r="K273" s="3" t="s">
        <v>108</v>
      </c>
      <c r="L273" s="3" t="s">
        <v>109</v>
      </c>
      <c r="M273" s="3" t="s">
        <v>110</v>
      </c>
      <c r="N273" s="3">
        <v>0.6</v>
      </c>
      <c r="O273" s="9">
        <v>600</v>
      </c>
      <c r="P273" s="10">
        <v>3229</v>
      </c>
      <c r="Q273" s="10">
        <v>2573</v>
      </c>
      <c r="R273" s="11">
        <f>P273-Q273</f>
        <v>656</v>
      </c>
      <c r="S273" s="12">
        <f>R273/P273</f>
        <v>0.20315887271601116</v>
      </c>
      <c r="T273" s="3">
        <v>2</v>
      </c>
      <c r="U273" s="3">
        <v>2</v>
      </c>
      <c r="V273" s="3" t="str">
        <f>IF(U273&lt;=T273+1,"On-Time","Late")</f>
        <v>On-Time</v>
      </c>
      <c r="W273" s="3" t="s">
        <v>79</v>
      </c>
      <c r="X273" s="3" t="s">
        <v>111</v>
      </c>
      <c r="Y273" s="3" t="s">
        <v>137</v>
      </c>
    </row>
    <row r="274" spans="1:25">
      <c r="A274" s="3" t="s">
        <v>419</v>
      </c>
      <c r="B274" s="8">
        <v>46063</v>
      </c>
      <c r="C274" s="8">
        <v>46072</v>
      </c>
      <c r="D274" s="8">
        <v>46086</v>
      </c>
      <c r="E274" s="3" t="s">
        <v>83</v>
      </c>
      <c r="F274" s="3" t="s">
        <v>96</v>
      </c>
      <c r="G274" s="3" t="s">
        <v>98</v>
      </c>
      <c r="H274" s="3" t="s">
        <v>99</v>
      </c>
      <c r="I274" s="3" t="s">
        <v>100</v>
      </c>
      <c r="J274" s="3" t="s">
        <v>101</v>
      </c>
      <c r="K274" s="3" t="s">
        <v>165</v>
      </c>
      <c r="L274" s="3" t="s">
        <v>166</v>
      </c>
      <c r="M274" s="3" t="s">
        <v>91</v>
      </c>
      <c r="N274" s="3">
        <v>3</v>
      </c>
      <c r="O274" s="9">
        <v>55770</v>
      </c>
      <c r="P274" s="10">
        <v>7137</v>
      </c>
      <c r="Q274" s="10">
        <v>5982</v>
      </c>
      <c r="R274" s="11">
        <f>P274-Q274</f>
        <v>1155</v>
      </c>
      <c r="S274" s="12">
        <f>R274/P274</f>
        <v>0.16183270281630938</v>
      </c>
      <c r="T274" s="3">
        <v>14</v>
      </c>
      <c r="U274" s="3">
        <v>14</v>
      </c>
      <c r="V274" s="3" t="str">
        <f>IF(U274&lt;=T274+1,"On-Time","Late")</f>
        <v>On-Time</v>
      </c>
      <c r="W274" s="3" t="s">
        <v>79</v>
      </c>
      <c r="X274" s="3" t="s">
        <v>111</v>
      </c>
      <c r="Y274" s="3" t="s">
        <v>81</v>
      </c>
    </row>
    <row r="275" spans="1:25">
      <c r="A275" s="3" t="s">
        <v>420</v>
      </c>
      <c r="B275" s="8">
        <v>46099</v>
      </c>
      <c r="C275" s="8">
        <v>46112</v>
      </c>
      <c r="D275" s="8">
        <v>46114</v>
      </c>
      <c r="E275" s="3" t="s">
        <v>70</v>
      </c>
      <c r="F275" s="3" t="s">
        <v>71</v>
      </c>
      <c r="G275" s="3" t="s">
        <v>72</v>
      </c>
      <c r="H275" s="3" t="s">
        <v>73</v>
      </c>
      <c r="I275" s="3" t="s">
        <v>74</v>
      </c>
      <c r="J275" s="3" t="s">
        <v>75</v>
      </c>
      <c r="K275" s="3" t="s">
        <v>123</v>
      </c>
      <c r="L275" s="3" t="s">
        <v>124</v>
      </c>
      <c r="M275" s="3" t="s">
        <v>219</v>
      </c>
      <c r="N275" s="3">
        <v>11.4</v>
      </c>
      <c r="O275" s="9">
        <v>11400</v>
      </c>
      <c r="P275" s="10">
        <v>2600</v>
      </c>
      <c r="Q275" s="10">
        <v>1964</v>
      </c>
      <c r="R275" s="11">
        <f>P275-Q275</f>
        <v>636</v>
      </c>
      <c r="S275" s="12">
        <f>R275/P275</f>
        <v>0.24461538461538462</v>
      </c>
      <c r="T275" s="3">
        <v>2</v>
      </c>
      <c r="U275" s="3">
        <v>2</v>
      </c>
      <c r="V275" s="3" t="str">
        <f>IF(U275&lt;=T275+1,"On-Time","Late")</f>
        <v>On-Time</v>
      </c>
      <c r="W275" s="3" t="s">
        <v>79</v>
      </c>
      <c r="X275" s="3" t="s">
        <v>80</v>
      </c>
      <c r="Y275" s="3" t="s">
        <v>92</v>
      </c>
    </row>
    <row r="276" spans="1:25">
      <c r="A276" s="3" t="s">
        <v>421</v>
      </c>
      <c r="B276" s="8">
        <v>46111</v>
      </c>
      <c r="C276" s="8">
        <v>46119</v>
      </c>
      <c r="D276" s="8">
        <v>46122</v>
      </c>
      <c r="E276" s="3" t="s">
        <v>103</v>
      </c>
      <c r="F276" s="3" t="s">
        <v>71</v>
      </c>
      <c r="G276" s="3" t="s">
        <v>150</v>
      </c>
      <c r="H276" s="3" t="s">
        <v>119</v>
      </c>
      <c r="I276" s="3" t="s">
        <v>151</v>
      </c>
      <c r="J276" s="3" t="s">
        <v>121</v>
      </c>
      <c r="K276" s="3" t="s">
        <v>160</v>
      </c>
      <c r="L276" s="3" t="s">
        <v>161</v>
      </c>
      <c r="M276" s="3" t="s">
        <v>110</v>
      </c>
      <c r="N276" s="3">
        <v>1.5</v>
      </c>
      <c r="O276" s="9">
        <v>1500</v>
      </c>
      <c r="P276" s="10">
        <v>7552</v>
      </c>
      <c r="Q276" s="10">
        <v>5827</v>
      </c>
      <c r="R276" s="11">
        <f>P276-Q276</f>
        <v>1725</v>
      </c>
      <c r="S276" s="12">
        <f>R276/P276</f>
        <v>0.22841631355932204</v>
      </c>
      <c r="T276" s="3">
        <v>3</v>
      </c>
      <c r="U276" s="3">
        <v>3</v>
      </c>
      <c r="V276" s="3" t="str">
        <f>IF(U276&lt;=T276+1,"On-Time","Late")</f>
        <v>On-Time</v>
      </c>
      <c r="W276" s="3" t="s">
        <v>79</v>
      </c>
      <c r="X276" s="3" t="s">
        <v>116</v>
      </c>
      <c r="Y276" s="3" t="s">
        <v>117</v>
      </c>
    </row>
    <row r="277" spans="1:25">
      <c r="A277" s="3" t="s">
        <v>422</v>
      </c>
      <c r="B277" s="8">
        <v>46022</v>
      </c>
      <c r="C277" s="8">
        <v>46028</v>
      </c>
      <c r="D277" s="8">
        <v>46031</v>
      </c>
      <c r="E277" s="3" t="s">
        <v>103</v>
      </c>
      <c r="F277" s="3" t="s">
        <v>149</v>
      </c>
      <c r="G277" s="3" t="s">
        <v>132</v>
      </c>
      <c r="H277" s="3" t="s">
        <v>105</v>
      </c>
      <c r="I277" s="3" t="s">
        <v>133</v>
      </c>
      <c r="J277" s="3" t="s">
        <v>107</v>
      </c>
      <c r="K277" s="3" t="s">
        <v>113</v>
      </c>
      <c r="L277" s="3" t="s">
        <v>114</v>
      </c>
      <c r="M277" s="3" t="s">
        <v>115</v>
      </c>
      <c r="N277" s="3">
        <v>3.3</v>
      </c>
      <c r="O277" s="9">
        <v>3300</v>
      </c>
      <c r="P277" s="10">
        <v>12081</v>
      </c>
      <c r="Q277" s="10">
        <v>9311</v>
      </c>
      <c r="R277" s="11">
        <f>P277-Q277</f>
        <v>2770</v>
      </c>
      <c r="S277" s="12">
        <f>R277/P277</f>
        <v>0.22928565516099661</v>
      </c>
      <c r="T277" s="3">
        <v>2</v>
      </c>
      <c r="U277" s="3">
        <v>3</v>
      </c>
      <c r="V277" s="3" t="str">
        <f>IF(U277&lt;=T277+1,"On-Time","Late")</f>
        <v>On-Time</v>
      </c>
      <c r="W277" s="3" t="s">
        <v>79</v>
      </c>
      <c r="X277" s="3" t="s">
        <v>116</v>
      </c>
      <c r="Y277" s="3" t="s">
        <v>81</v>
      </c>
    </row>
    <row r="278" spans="1:25">
      <c r="A278" s="3" t="s">
        <v>423</v>
      </c>
      <c r="B278" s="8">
        <v>46037</v>
      </c>
      <c r="C278" s="8">
        <v>46042</v>
      </c>
      <c r="D278" s="8">
        <v>46056</v>
      </c>
      <c r="E278" s="3" t="s">
        <v>83</v>
      </c>
      <c r="F278" s="3" t="s">
        <v>84</v>
      </c>
      <c r="G278" s="3" t="s">
        <v>98</v>
      </c>
      <c r="H278" s="3" t="s">
        <v>99</v>
      </c>
      <c r="I278" s="3" t="s">
        <v>100</v>
      </c>
      <c r="J278" s="3" t="s">
        <v>101</v>
      </c>
      <c r="K278" s="3" t="s">
        <v>165</v>
      </c>
      <c r="L278" s="3" t="s">
        <v>166</v>
      </c>
      <c r="M278" s="3" t="s">
        <v>167</v>
      </c>
      <c r="N278" s="3">
        <v>1</v>
      </c>
      <c r="O278" s="9">
        <v>18291</v>
      </c>
      <c r="P278" s="10">
        <v>2663</v>
      </c>
      <c r="Q278" s="10">
        <v>2197</v>
      </c>
      <c r="R278" s="11">
        <f>P278-Q278</f>
        <v>466</v>
      </c>
      <c r="S278" s="12">
        <f>R278/P278</f>
        <v>0.17499061209162597</v>
      </c>
      <c r="T278" s="3">
        <v>14</v>
      </c>
      <c r="U278" s="3">
        <v>14</v>
      </c>
      <c r="V278" s="3" t="str">
        <f>IF(U278&lt;=T278+1,"On-Time","Late")</f>
        <v>On-Time</v>
      </c>
      <c r="W278" s="3" t="s">
        <v>79</v>
      </c>
      <c r="X278" s="3" t="s">
        <v>111</v>
      </c>
      <c r="Y278" s="3" t="s">
        <v>92</v>
      </c>
    </row>
    <row r="279" spans="1:25">
      <c r="A279" s="3" t="s">
        <v>424</v>
      </c>
      <c r="B279" s="8">
        <v>46065</v>
      </c>
      <c r="C279" s="8">
        <v>46073</v>
      </c>
      <c r="D279" s="8">
        <v>46089</v>
      </c>
      <c r="E279" s="3" t="s">
        <v>83</v>
      </c>
      <c r="F279" s="3" t="s">
        <v>96</v>
      </c>
      <c r="G279" s="3" t="s">
        <v>163</v>
      </c>
      <c r="H279" s="3" t="s">
        <v>99</v>
      </c>
      <c r="I279" s="3" t="s">
        <v>164</v>
      </c>
      <c r="J279" s="3" t="s">
        <v>101</v>
      </c>
      <c r="K279" s="3" t="s">
        <v>165</v>
      </c>
      <c r="L279" s="3" t="s">
        <v>166</v>
      </c>
      <c r="M279" s="3" t="s">
        <v>147</v>
      </c>
      <c r="N279" s="3">
        <v>2</v>
      </c>
      <c r="O279" s="9">
        <v>33470</v>
      </c>
      <c r="P279" s="10">
        <v>6318</v>
      </c>
      <c r="Q279" s="10">
        <v>5285</v>
      </c>
      <c r="R279" s="11">
        <f>P279-Q279</f>
        <v>1033</v>
      </c>
      <c r="S279" s="12">
        <f>R279/P279</f>
        <v>0.16350110794555239</v>
      </c>
      <c r="T279" s="3">
        <v>15</v>
      </c>
      <c r="U279" s="3">
        <v>16</v>
      </c>
      <c r="V279" s="3" t="str">
        <f>IF(U279&lt;=T279+1,"On-Time","Late")</f>
        <v>On-Time</v>
      </c>
      <c r="W279" s="3" t="s">
        <v>79</v>
      </c>
      <c r="X279" s="3" t="s">
        <v>111</v>
      </c>
      <c r="Y279" s="3" t="s">
        <v>137</v>
      </c>
    </row>
    <row r="280" spans="1:25">
      <c r="A280" s="3" t="s">
        <v>425</v>
      </c>
      <c r="B280" s="8">
        <v>46120</v>
      </c>
      <c r="C280" s="8">
        <v>46126</v>
      </c>
      <c r="D280" s="8">
        <v>46140</v>
      </c>
      <c r="E280" s="3" t="s">
        <v>83</v>
      </c>
      <c r="F280" s="3" t="s">
        <v>96</v>
      </c>
      <c r="G280" s="3" t="s">
        <v>98</v>
      </c>
      <c r="H280" s="3" t="s">
        <v>99</v>
      </c>
      <c r="I280" s="3" t="s">
        <v>100</v>
      </c>
      <c r="J280" s="3" t="s">
        <v>101</v>
      </c>
      <c r="K280" s="3" t="s">
        <v>76</v>
      </c>
      <c r="L280" s="3" t="s">
        <v>77</v>
      </c>
      <c r="M280" s="3" t="s">
        <v>91</v>
      </c>
      <c r="N280" s="3">
        <v>3</v>
      </c>
      <c r="O280" s="9">
        <v>53766</v>
      </c>
      <c r="P280" s="10">
        <v>7899</v>
      </c>
      <c r="Q280" s="10">
        <v>6461</v>
      </c>
      <c r="R280" s="11">
        <f>P280-Q280</f>
        <v>1438</v>
      </c>
      <c r="S280" s="12">
        <f>R280/P280</f>
        <v>0.1820483605519686</v>
      </c>
      <c r="T280" s="3">
        <v>14</v>
      </c>
      <c r="U280" s="3">
        <v>14</v>
      </c>
      <c r="V280" s="3" t="str">
        <f>IF(U280&lt;=T280+1,"On-Time","Late")</f>
        <v>On-Time</v>
      </c>
      <c r="W280" s="3" t="s">
        <v>79</v>
      </c>
      <c r="X280" s="3" t="s">
        <v>80</v>
      </c>
      <c r="Y280" s="3" t="s">
        <v>81</v>
      </c>
    </row>
    <row r="281" spans="1:25">
      <c r="A281" s="3" t="s">
        <v>426</v>
      </c>
      <c r="B281" s="8">
        <v>46161</v>
      </c>
      <c r="C281" s="8">
        <v>46167</v>
      </c>
      <c r="D281" s="8">
        <v>46189</v>
      </c>
      <c r="E281" s="3" t="s">
        <v>83</v>
      </c>
      <c r="F281" s="3" t="s">
        <v>96</v>
      </c>
      <c r="G281" s="3" t="s">
        <v>126</v>
      </c>
      <c r="H281" s="3" t="s">
        <v>86</v>
      </c>
      <c r="I281" s="3" t="s">
        <v>127</v>
      </c>
      <c r="J281" s="3" t="s">
        <v>88</v>
      </c>
      <c r="K281" s="3" t="s">
        <v>160</v>
      </c>
      <c r="L281" s="3" t="s">
        <v>161</v>
      </c>
      <c r="M281" s="3" t="s">
        <v>130</v>
      </c>
      <c r="N281" s="3">
        <v>2</v>
      </c>
      <c r="O281" s="9">
        <v>26420</v>
      </c>
      <c r="P281" s="10">
        <v>5398</v>
      </c>
      <c r="Q281" s="10">
        <v>4351</v>
      </c>
      <c r="R281" s="11">
        <f>P281-Q281</f>
        <v>1047</v>
      </c>
      <c r="S281" s="12">
        <f>R281/P281</f>
        <v>0.193960726194887</v>
      </c>
      <c r="T281" s="3">
        <v>19</v>
      </c>
      <c r="U281" s="3">
        <v>22</v>
      </c>
      <c r="V281" s="3" t="str">
        <f>IF(U281&lt;=T281+1,"On-Time","Late")</f>
        <v>Late</v>
      </c>
      <c r="W281" s="3" t="s">
        <v>134</v>
      </c>
      <c r="X281" s="3" t="s">
        <v>116</v>
      </c>
      <c r="Y281" s="3" t="s">
        <v>137</v>
      </c>
    </row>
    <row r="282" spans="1:25">
      <c r="A282" s="3" t="s">
        <v>427</v>
      </c>
      <c r="B282" s="8">
        <v>46112</v>
      </c>
      <c r="C282" s="8">
        <v>46123</v>
      </c>
      <c r="D282" s="8">
        <v>46126</v>
      </c>
      <c r="E282" s="3" t="s">
        <v>103</v>
      </c>
      <c r="F282" s="3" t="s">
        <v>71</v>
      </c>
      <c r="G282" s="3" t="s">
        <v>104</v>
      </c>
      <c r="H282" s="3" t="s">
        <v>105</v>
      </c>
      <c r="I282" s="3" t="s">
        <v>106</v>
      </c>
      <c r="J282" s="3" t="s">
        <v>107</v>
      </c>
      <c r="K282" s="3" t="s">
        <v>108</v>
      </c>
      <c r="L282" s="3" t="s">
        <v>109</v>
      </c>
      <c r="M282" s="3" t="s">
        <v>115</v>
      </c>
      <c r="N282" s="3">
        <v>4.9000000000000004</v>
      </c>
      <c r="O282" s="9">
        <v>4900</v>
      </c>
      <c r="P282" s="10">
        <v>22642</v>
      </c>
      <c r="Q282" s="10">
        <v>17630</v>
      </c>
      <c r="R282" s="11">
        <f>P282-Q282</f>
        <v>5012</v>
      </c>
      <c r="S282" s="12">
        <f>R282/P282</f>
        <v>0.22135853723169333</v>
      </c>
      <c r="T282" s="3">
        <v>2</v>
      </c>
      <c r="U282" s="3">
        <v>3</v>
      </c>
      <c r="V282" s="3" t="str">
        <f>IF(U282&lt;=T282+1,"On-Time","Late")</f>
        <v>On-Time</v>
      </c>
      <c r="W282" s="3" t="s">
        <v>79</v>
      </c>
      <c r="X282" s="3" t="s">
        <v>111</v>
      </c>
      <c r="Y282" s="3" t="s">
        <v>94</v>
      </c>
    </row>
    <row r="283" spans="1:25">
      <c r="A283" s="3" t="s">
        <v>428</v>
      </c>
      <c r="B283" s="8">
        <v>46073</v>
      </c>
      <c r="C283" s="8">
        <v>46086</v>
      </c>
      <c r="D283" s="8">
        <v>46105</v>
      </c>
      <c r="E283" s="3" t="s">
        <v>83</v>
      </c>
      <c r="F283" s="3" t="s">
        <v>96</v>
      </c>
      <c r="G283" s="3" t="s">
        <v>140</v>
      </c>
      <c r="H283" s="3" t="s">
        <v>86</v>
      </c>
      <c r="I283" s="3" t="s">
        <v>141</v>
      </c>
      <c r="J283" s="3" t="s">
        <v>88</v>
      </c>
      <c r="K283" s="3" t="s">
        <v>156</v>
      </c>
      <c r="L283" s="3" t="s">
        <v>157</v>
      </c>
      <c r="M283" s="3" t="s">
        <v>130</v>
      </c>
      <c r="N283" s="3">
        <v>1</v>
      </c>
      <c r="O283" s="9">
        <v>13572</v>
      </c>
      <c r="P283" s="10">
        <v>2358</v>
      </c>
      <c r="Q283" s="10">
        <v>1980</v>
      </c>
      <c r="R283" s="11">
        <f>P283-Q283</f>
        <v>378</v>
      </c>
      <c r="S283" s="12">
        <f>R283/P283</f>
        <v>0.16030534351145037</v>
      </c>
      <c r="T283" s="3">
        <v>18</v>
      </c>
      <c r="U283" s="3">
        <v>19</v>
      </c>
      <c r="V283" s="3" t="str">
        <f>IF(U283&lt;=T283+1,"On-Time","Late")</f>
        <v>On-Time</v>
      </c>
      <c r="W283" s="3" t="s">
        <v>79</v>
      </c>
      <c r="X283" s="3" t="s">
        <v>111</v>
      </c>
      <c r="Y283" s="3" t="s">
        <v>81</v>
      </c>
    </row>
    <row r="284" spans="1:25">
      <c r="A284" s="3" t="s">
        <v>429</v>
      </c>
      <c r="B284" s="8">
        <v>46078</v>
      </c>
      <c r="C284" s="8">
        <v>46086</v>
      </c>
      <c r="D284" s="8">
        <v>46088</v>
      </c>
      <c r="E284" s="3" t="s">
        <v>103</v>
      </c>
      <c r="F284" s="3" t="s">
        <v>71</v>
      </c>
      <c r="G284" s="3" t="s">
        <v>104</v>
      </c>
      <c r="H284" s="3" t="s">
        <v>105</v>
      </c>
      <c r="I284" s="3" t="s">
        <v>106</v>
      </c>
      <c r="J284" s="3" t="s">
        <v>107</v>
      </c>
      <c r="K284" s="3" t="s">
        <v>108</v>
      </c>
      <c r="L284" s="3" t="s">
        <v>109</v>
      </c>
      <c r="M284" s="3" t="s">
        <v>143</v>
      </c>
      <c r="N284" s="3">
        <v>4.4000000000000004</v>
      </c>
      <c r="O284" s="9">
        <v>4400</v>
      </c>
      <c r="P284" s="10">
        <v>16649</v>
      </c>
      <c r="Q284" s="10">
        <v>13058</v>
      </c>
      <c r="R284" s="11">
        <f>P284-Q284</f>
        <v>3591</v>
      </c>
      <c r="S284" s="12">
        <f>R284/P284</f>
        <v>0.2156886299477446</v>
      </c>
      <c r="T284" s="3">
        <v>2</v>
      </c>
      <c r="U284" s="3">
        <v>2</v>
      </c>
      <c r="V284" s="3" t="str">
        <f>IF(U284&lt;=T284+1,"On-Time","Late")</f>
        <v>On-Time</v>
      </c>
      <c r="W284" s="3" t="s">
        <v>79</v>
      </c>
      <c r="X284" s="3" t="s">
        <v>111</v>
      </c>
      <c r="Y284" s="3" t="s">
        <v>94</v>
      </c>
    </row>
    <row r="285" spans="1:25">
      <c r="A285" s="3" t="s">
        <v>430</v>
      </c>
      <c r="B285" s="8">
        <v>46107</v>
      </c>
      <c r="C285" s="8">
        <v>46112</v>
      </c>
      <c r="D285" s="8">
        <v>46134</v>
      </c>
      <c r="E285" s="3" t="s">
        <v>83</v>
      </c>
      <c r="F285" s="3" t="s">
        <v>96</v>
      </c>
      <c r="G285" s="3" t="s">
        <v>126</v>
      </c>
      <c r="H285" s="3" t="s">
        <v>86</v>
      </c>
      <c r="I285" s="3" t="s">
        <v>127</v>
      </c>
      <c r="J285" s="3" t="s">
        <v>88</v>
      </c>
      <c r="K285" s="3" t="s">
        <v>128</v>
      </c>
      <c r="L285" s="3" t="s">
        <v>129</v>
      </c>
      <c r="M285" s="3" t="s">
        <v>147</v>
      </c>
      <c r="N285" s="3">
        <v>1</v>
      </c>
      <c r="O285" s="9">
        <v>20287</v>
      </c>
      <c r="P285" s="10">
        <v>3061</v>
      </c>
      <c r="Q285" s="10">
        <v>2483</v>
      </c>
      <c r="R285" s="11">
        <f>P285-Q285</f>
        <v>578</v>
      </c>
      <c r="S285" s="12">
        <f>R285/P285</f>
        <v>0.18882718065991505</v>
      </c>
      <c r="T285" s="3">
        <v>19</v>
      </c>
      <c r="U285" s="3">
        <v>22</v>
      </c>
      <c r="V285" s="3" t="str">
        <f>IF(U285&lt;=T285+1,"On-Time","Late")</f>
        <v>Late</v>
      </c>
      <c r="W285" s="3" t="s">
        <v>79</v>
      </c>
      <c r="X285" s="3" t="s">
        <v>116</v>
      </c>
      <c r="Y285" s="3" t="s">
        <v>94</v>
      </c>
    </row>
    <row r="286" spans="1:25">
      <c r="A286" s="3" t="s">
        <v>431</v>
      </c>
      <c r="B286" s="8">
        <v>46067</v>
      </c>
      <c r="C286" s="8">
        <v>46072</v>
      </c>
      <c r="D286" s="8">
        <v>46091</v>
      </c>
      <c r="E286" s="3" t="s">
        <v>83</v>
      </c>
      <c r="F286" s="3" t="s">
        <v>96</v>
      </c>
      <c r="G286" s="3" t="s">
        <v>140</v>
      </c>
      <c r="H286" s="3" t="s">
        <v>86</v>
      </c>
      <c r="I286" s="3" t="s">
        <v>141</v>
      </c>
      <c r="J286" s="3" t="s">
        <v>88</v>
      </c>
      <c r="K286" s="3" t="s">
        <v>89</v>
      </c>
      <c r="L286" s="3" t="s">
        <v>90</v>
      </c>
      <c r="M286" s="3" t="s">
        <v>91</v>
      </c>
      <c r="N286" s="3">
        <v>3</v>
      </c>
      <c r="O286" s="9">
        <v>43827</v>
      </c>
      <c r="P286" s="10">
        <v>8718</v>
      </c>
      <c r="Q286" s="10">
        <v>7212</v>
      </c>
      <c r="R286" s="11">
        <f>P286-Q286</f>
        <v>1506</v>
      </c>
      <c r="S286" s="12">
        <f>R286/P286</f>
        <v>0.17274604267033725</v>
      </c>
      <c r="T286" s="3">
        <v>18</v>
      </c>
      <c r="U286" s="3">
        <v>19</v>
      </c>
      <c r="V286" s="3" t="str">
        <f>IF(U286&lt;=T286+1,"On-Time","Late")</f>
        <v>On-Time</v>
      </c>
      <c r="W286" s="3" t="s">
        <v>79</v>
      </c>
      <c r="X286" s="3" t="s">
        <v>80</v>
      </c>
      <c r="Y286" s="3" t="s">
        <v>137</v>
      </c>
    </row>
    <row r="287" spans="1:25">
      <c r="A287" s="3" t="s">
        <v>432</v>
      </c>
      <c r="B287" s="8">
        <v>46115</v>
      </c>
      <c r="C287" s="8">
        <v>46124</v>
      </c>
      <c r="D287" s="8">
        <v>46127</v>
      </c>
      <c r="E287" s="3" t="s">
        <v>103</v>
      </c>
      <c r="F287" s="3" t="s">
        <v>96</v>
      </c>
      <c r="G287" s="3" t="s">
        <v>150</v>
      </c>
      <c r="H287" s="3" t="s">
        <v>119</v>
      </c>
      <c r="I287" s="3" t="s">
        <v>151</v>
      </c>
      <c r="J287" s="3" t="s">
        <v>121</v>
      </c>
      <c r="K287" s="3" t="s">
        <v>160</v>
      </c>
      <c r="L287" s="3" t="s">
        <v>161</v>
      </c>
      <c r="M287" s="3" t="s">
        <v>110</v>
      </c>
      <c r="N287" s="3">
        <v>0.8</v>
      </c>
      <c r="O287" s="9">
        <v>800</v>
      </c>
      <c r="P287" s="10">
        <v>4306</v>
      </c>
      <c r="Q287" s="10">
        <v>3421</v>
      </c>
      <c r="R287" s="11">
        <f>P287-Q287</f>
        <v>885</v>
      </c>
      <c r="S287" s="12">
        <f>R287/P287</f>
        <v>0.20552717138875987</v>
      </c>
      <c r="T287" s="3">
        <v>3</v>
      </c>
      <c r="U287" s="3">
        <v>3</v>
      </c>
      <c r="V287" s="3" t="str">
        <f>IF(U287&lt;=T287+1,"On-Time","Late")</f>
        <v>On-Time</v>
      </c>
      <c r="W287" s="3" t="s">
        <v>79</v>
      </c>
      <c r="X287" s="3" t="s">
        <v>116</v>
      </c>
      <c r="Y287" s="3" t="s">
        <v>94</v>
      </c>
    </row>
    <row r="288" spans="1:25">
      <c r="A288" s="3" t="s">
        <v>433</v>
      </c>
      <c r="B288" s="8">
        <v>46021</v>
      </c>
      <c r="C288" s="8">
        <v>46034</v>
      </c>
      <c r="D288" s="8">
        <v>46037</v>
      </c>
      <c r="E288" s="3" t="s">
        <v>103</v>
      </c>
      <c r="F288" s="3" t="s">
        <v>149</v>
      </c>
      <c r="G288" s="3" t="s">
        <v>104</v>
      </c>
      <c r="H288" s="3" t="s">
        <v>105</v>
      </c>
      <c r="I288" s="3" t="s">
        <v>106</v>
      </c>
      <c r="J288" s="3" t="s">
        <v>107</v>
      </c>
      <c r="K288" s="3" t="s">
        <v>108</v>
      </c>
      <c r="L288" s="3" t="s">
        <v>109</v>
      </c>
      <c r="M288" s="3" t="s">
        <v>115</v>
      </c>
      <c r="N288" s="3">
        <v>0.9</v>
      </c>
      <c r="O288" s="9">
        <v>900</v>
      </c>
      <c r="P288" s="10">
        <v>3861</v>
      </c>
      <c r="Q288" s="10">
        <v>3076</v>
      </c>
      <c r="R288" s="11">
        <f>P288-Q288</f>
        <v>785</v>
      </c>
      <c r="S288" s="12">
        <f>R288/P288</f>
        <v>0.20331520331520331</v>
      </c>
      <c r="T288" s="3">
        <v>2</v>
      </c>
      <c r="U288" s="3">
        <v>3</v>
      </c>
      <c r="V288" s="3" t="str">
        <f>IF(U288&lt;=T288+1,"On-Time","Late")</f>
        <v>On-Time</v>
      </c>
      <c r="W288" s="3" t="s">
        <v>79</v>
      </c>
      <c r="X288" s="3" t="s">
        <v>111</v>
      </c>
      <c r="Y288" s="3" t="s">
        <v>92</v>
      </c>
    </row>
    <row r="289" spans="1:25">
      <c r="A289" s="3" t="s">
        <v>434</v>
      </c>
      <c r="B289" s="8">
        <v>46016</v>
      </c>
      <c r="C289" s="8">
        <v>46027</v>
      </c>
      <c r="D289" s="8">
        <v>46029</v>
      </c>
      <c r="E289" s="3" t="s">
        <v>103</v>
      </c>
      <c r="F289" s="3" t="s">
        <v>71</v>
      </c>
      <c r="G289" s="3" t="s">
        <v>104</v>
      </c>
      <c r="H289" s="3" t="s">
        <v>105</v>
      </c>
      <c r="I289" s="3" t="s">
        <v>106</v>
      </c>
      <c r="J289" s="3" t="s">
        <v>107</v>
      </c>
      <c r="K289" s="3" t="s">
        <v>123</v>
      </c>
      <c r="L289" s="3" t="s">
        <v>124</v>
      </c>
      <c r="M289" s="3" t="s">
        <v>143</v>
      </c>
      <c r="N289" s="3">
        <v>2.1</v>
      </c>
      <c r="O289" s="9">
        <v>2100</v>
      </c>
      <c r="P289" s="10">
        <v>10304</v>
      </c>
      <c r="Q289" s="10">
        <v>8322</v>
      </c>
      <c r="R289" s="11">
        <f>P289-Q289</f>
        <v>1982</v>
      </c>
      <c r="S289" s="12">
        <f>R289/P289</f>
        <v>0.1923524844720497</v>
      </c>
      <c r="T289" s="3">
        <v>2</v>
      </c>
      <c r="U289" s="3">
        <v>2</v>
      </c>
      <c r="V289" s="3" t="str">
        <f>IF(U289&lt;=T289+1,"On-Time","Late")</f>
        <v>On-Time</v>
      </c>
      <c r="W289" s="3" t="s">
        <v>79</v>
      </c>
      <c r="X289" s="3" t="s">
        <v>80</v>
      </c>
      <c r="Y289" s="3" t="s">
        <v>117</v>
      </c>
    </row>
    <row r="290" spans="1:25">
      <c r="A290" s="3" t="s">
        <v>435</v>
      </c>
      <c r="B290" s="8">
        <v>46059</v>
      </c>
      <c r="C290" s="8">
        <v>46073</v>
      </c>
      <c r="D290" s="8">
        <v>46089</v>
      </c>
      <c r="E290" s="3" t="s">
        <v>83</v>
      </c>
      <c r="F290" s="3" t="s">
        <v>96</v>
      </c>
      <c r="G290" s="3" t="s">
        <v>163</v>
      </c>
      <c r="H290" s="3" t="s">
        <v>99</v>
      </c>
      <c r="I290" s="3" t="s">
        <v>164</v>
      </c>
      <c r="J290" s="3" t="s">
        <v>101</v>
      </c>
      <c r="K290" s="3" t="s">
        <v>165</v>
      </c>
      <c r="L290" s="3" t="s">
        <v>166</v>
      </c>
      <c r="M290" s="3" t="s">
        <v>147</v>
      </c>
      <c r="N290" s="3">
        <v>3</v>
      </c>
      <c r="O290" s="9">
        <v>51222</v>
      </c>
      <c r="P290" s="10">
        <v>7662</v>
      </c>
      <c r="Q290" s="10">
        <v>6269</v>
      </c>
      <c r="R290" s="11">
        <f>P290-Q290</f>
        <v>1393</v>
      </c>
      <c r="S290" s="12">
        <f>R290/P290</f>
        <v>0.18180631688854085</v>
      </c>
      <c r="T290" s="3">
        <v>15</v>
      </c>
      <c r="U290" s="3">
        <v>16</v>
      </c>
      <c r="V290" s="3" t="str">
        <f>IF(U290&lt;=T290+1,"On-Time","Late")</f>
        <v>On-Time</v>
      </c>
      <c r="W290" s="3" t="s">
        <v>79</v>
      </c>
      <c r="X290" s="3" t="s">
        <v>111</v>
      </c>
      <c r="Y290" s="3" t="s">
        <v>81</v>
      </c>
    </row>
    <row r="291" spans="1:25">
      <c r="A291" s="3" t="s">
        <v>436</v>
      </c>
      <c r="B291" s="8">
        <v>46081</v>
      </c>
      <c r="C291" s="8">
        <v>46091</v>
      </c>
      <c r="D291" s="8">
        <v>46094</v>
      </c>
      <c r="E291" s="3" t="s">
        <v>103</v>
      </c>
      <c r="F291" s="3" t="s">
        <v>96</v>
      </c>
      <c r="G291" s="3" t="s">
        <v>104</v>
      </c>
      <c r="H291" s="3" t="s">
        <v>105</v>
      </c>
      <c r="I291" s="3" t="s">
        <v>106</v>
      </c>
      <c r="J291" s="3" t="s">
        <v>107</v>
      </c>
      <c r="K291" s="3" t="s">
        <v>113</v>
      </c>
      <c r="L291" s="3" t="s">
        <v>114</v>
      </c>
      <c r="M291" s="3" t="s">
        <v>115</v>
      </c>
      <c r="N291" s="3">
        <v>2.5</v>
      </c>
      <c r="O291" s="9">
        <v>2500</v>
      </c>
      <c r="P291" s="10">
        <v>11842</v>
      </c>
      <c r="Q291" s="10">
        <v>9400</v>
      </c>
      <c r="R291" s="11">
        <f>P291-Q291</f>
        <v>2442</v>
      </c>
      <c r="S291" s="12">
        <f>R291/P291</f>
        <v>0.2062151663570343</v>
      </c>
      <c r="T291" s="3">
        <v>2</v>
      </c>
      <c r="U291" s="3">
        <v>3</v>
      </c>
      <c r="V291" s="3" t="str">
        <f>IF(U291&lt;=T291+1,"On-Time","Late")</f>
        <v>On-Time</v>
      </c>
      <c r="W291" s="3" t="s">
        <v>79</v>
      </c>
      <c r="X291" s="3" t="s">
        <v>116</v>
      </c>
      <c r="Y291" s="3" t="s">
        <v>137</v>
      </c>
    </row>
    <row r="292" spans="1:25">
      <c r="A292" s="3" t="s">
        <v>437</v>
      </c>
      <c r="B292" s="8">
        <v>46011</v>
      </c>
      <c r="C292" s="8">
        <v>46025</v>
      </c>
      <c r="D292" s="8">
        <v>46039</v>
      </c>
      <c r="E292" s="3" t="s">
        <v>83</v>
      </c>
      <c r="F292" s="3" t="s">
        <v>84</v>
      </c>
      <c r="G292" s="3" t="s">
        <v>98</v>
      </c>
      <c r="H292" s="3" t="s">
        <v>99</v>
      </c>
      <c r="I292" s="3" t="s">
        <v>100</v>
      </c>
      <c r="J292" s="3" t="s">
        <v>101</v>
      </c>
      <c r="K292" s="3" t="s">
        <v>76</v>
      </c>
      <c r="L292" s="3" t="s">
        <v>77</v>
      </c>
      <c r="M292" s="3" t="s">
        <v>136</v>
      </c>
      <c r="N292" s="3">
        <v>4</v>
      </c>
      <c r="O292" s="9">
        <v>70344</v>
      </c>
      <c r="P292" s="10">
        <v>10272</v>
      </c>
      <c r="Q292" s="10">
        <v>8809</v>
      </c>
      <c r="R292" s="11">
        <f>P292-Q292</f>
        <v>1463</v>
      </c>
      <c r="S292" s="12">
        <f>R292/P292</f>
        <v>0.14242601246105918</v>
      </c>
      <c r="T292" s="3">
        <v>14</v>
      </c>
      <c r="U292" s="3">
        <v>14</v>
      </c>
      <c r="V292" s="3" t="str">
        <f>IF(U292&lt;=T292+1,"On-Time","Late")</f>
        <v>On-Time</v>
      </c>
      <c r="W292" s="3" t="s">
        <v>79</v>
      </c>
      <c r="X292" s="3" t="s">
        <v>80</v>
      </c>
      <c r="Y292" s="3" t="s">
        <v>117</v>
      </c>
    </row>
    <row r="293" spans="1:25">
      <c r="A293" s="3" t="s">
        <v>438</v>
      </c>
      <c r="B293" s="8">
        <v>46051</v>
      </c>
      <c r="C293" s="8">
        <v>46058</v>
      </c>
      <c r="D293" s="8">
        <v>46060</v>
      </c>
      <c r="E293" s="3" t="s">
        <v>103</v>
      </c>
      <c r="F293" s="3" t="s">
        <v>96</v>
      </c>
      <c r="G293" s="3" t="s">
        <v>104</v>
      </c>
      <c r="H293" s="3" t="s">
        <v>105</v>
      </c>
      <c r="I293" s="3" t="s">
        <v>106</v>
      </c>
      <c r="J293" s="3" t="s">
        <v>107</v>
      </c>
      <c r="K293" s="3" t="s">
        <v>123</v>
      </c>
      <c r="L293" s="3" t="s">
        <v>124</v>
      </c>
      <c r="M293" s="3" t="s">
        <v>115</v>
      </c>
      <c r="N293" s="3">
        <v>3.7</v>
      </c>
      <c r="O293" s="9">
        <v>3700</v>
      </c>
      <c r="P293" s="10">
        <v>14211</v>
      </c>
      <c r="Q293" s="10">
        <v>11254</v>
      </c>
      <c r="R293" s="11">
        <f>P293-Q293</f>
        <v>2957</v>
      </c>
      <c r="S293" s="12">
        <f>R293/P293</f>
        <v>0.20807824924354373</v>
      </c>
      <c r="T293" s="3">
        <v>2</v>
      </c>
      <c r="U293" s="3">
        <v>2</v>
      </c>
      <c r="V293" s="3" t="str">
        <f>IF(U293&lt;=T293+1,"On-Time","Late")</f>
        <v>On-Time</v>
      </c>
      <c r="W293" s="3" t="s">
        <v>79</v>
      </c>
      <c r="X293" s="3" t="s">
        <v>80</v>
      </c>
      <c r="Y293" s="3" t="s">
        <v>117</v>
      </c>
    </row>
    <row r="294" spans="1:25">
      <c r="A294" s="3" t="s">
        <v>439</v>
      </c>
      <c r="B294" s="8">
        <v>46157</v>
      </c>
      <c r="C294" s="8">
        <v>46164</v>
      </c>
      <c r="D294" s="8">
        <v>46182</v>
      </c>
      <c r="E294" s="3" t="s">
        <v>83</v>
      </c>
      <c r="F294" s="3" t="s">
        <v>84</v>
      </c>
      <c r="G294" s="3" t="s">
        <v>98</v>
      </c>
      <c r="H294" s="3" t="s">
        <v>99</v>
      </c>
      <c r="I294" s="3" t="s">
        <v>100</v>
      </c>
      <c r="J294" s="3" t="s">
        <v>101</v>
      </c>
      <c r="K294" s="3" t="s">
        <v>165</v>
      </c>
      <c r="L294" s="3" t="s">
        <v>166</v>
      </c>
      <c r="M294" s="3" t="s">
        <v>147</v>
      </c>
      <c r="N294" s="3">
        <v>6</v>
      </c>
      <c r="O294" s="9">
        <v>66030</v>
      </c>
      <c r="P294" s="10">
        <v>18276</v>
      </c>
      <c r="Q294" s="10">
        <v>15703</v>
      </c>
      <c r="R294" s="11">
        <f>P294-Q294</f>
        <v>2573</v>
      </c>
      <c r="S294" s="12">
        <f>R294/P294</f>
        <v>0.14078572991901947</v>
      </c>
      <c r="T294" s="3">
        <v>14</v>
      </c>
      <c r="U294" s="3">
        <v>18</v>
      </c>
      <c r="V294" s="3" t="str">
        <f>IF(U294&lt;=T294+1,"On-Time","Late")</f>
        <v>Late</v>
      </c>
      <c r="W294" s="3" t="s">
        <v>79</v>
      </c>
      <c r="X294" s="3" t="s">
        <v>111</v>
      </c>
      <c r="Y294" s="3" t="s">
        <v>81</v>
      </c>
    </row>
    <row r="295" spans="1:25">
      <c r="A295" s="3" t="s">
        <v>440</v>
      </c>
      <c r="B295" s="8">
        <v>46136</v>
      </c>
      <c r="C295" s="8">
        <v>46142</v>
      </c>
      <c r="D295" s="8">
        <v>46161</v>
      </c>
      <c r="E295" s="3" t="s">
        <v>83</v>
      </c>
      <c r="F295" s="3" t="s">
        <v>96</v>
      </c>
      <c r="G295" s="3" t="s">
        <v>126</v>
      </c>
      <c r="H295" s="3" t="s">
        <v>86</v>
      </c>
      <c r="I295" s="3" t="s">
        <v>127</v>
      </c>
      <c r="J295" s="3" t="s">
        <v>88</v>
      </c>
      <c r="K295" s="3" t="s">
        <v>160</v>
      </c>
      <c r="L295" s="3" t="s">
        <v>161</v>
      </c>
      <c r="M295" s="3" t="s">
        <v>130</v>
      </c>
      <c r="N295" s="3">
        <v>2</v>
      </c>
      <c r="O295" s="9">
        <v>36496</v>
      </c>
      <c r="P295" s="10">
        <v>5076</v>
      </c>
      <c r="Q295" s="10">
        <v>4223</v>
      </c>
      <c r="R295" s="11">
        <f>P295-Q295</f>
        <v>853</v>
      </c>
      <c r="S295" s="12">
        <f>R295/P295</f>
        <v>0.16804570527974783</v>
      </c>
      <c r="T295" s="3">
        <v>19</v>
      </c>
      <c r="U295" s="3">
        <v>19</v>
      </c>
      <c r="V295" s="3" t="str">
        <f>IF(U295&lt;=T295+1,"On-Time","Late")</f>
        <v>On-Time</v>
      </c>
      <c r="W295" s="3" t="s">
        <v>79</v>
      </c>
      <c r="X295" s="3" t="s">
        <v>116</v>
      </c>
      <c r="Y295" s="3" t="s">
        <v>137</v>
      </c>
    </row>
    <row r="296" spans="1:25">
      <c r="A296" s="3" t="s">
        <v>441</v>
      </c>
      <c r="B296" s="8">
        <v>46078</v>
      </c>
      <c r="C296" s="8">
        <v>46086</v>
      </c>
      <c r="D296" s="8">
        <v>46088</v>
      </c>
      <c r="E296" s="3" t="s">
        <v>70</v>
      </c>
      <c r="F296" s="3" t="s">
        <v>71</v>
      </c>
      <c r="G296" s="3" t="s">
        <v>72</v>
      </c>
      <c r="H296" s="3" t="s">
        <v>73</v>
      </c>
      <c r="I296" s="3" t="s">
        <v>74</v>
      </c>
      <c r="J296" s="3" t="s">
        <v>75</v>
      </c>
      <c r="K296" s="3" t="s">
        <v>123</v>
      </c>
      <c r="L296" s="3" t="s">
        <v>124</v>
      </c>
      <c r="M296" s="3" t="s">
        <v>219</v>
      </c>
      <c r="N296" s="3">
        <v>7.3</v>
      </c>
      <c r="O296" s="9">
        <v>7300</v>
      </c>
      <c r="P296" s="10">
        <v>1722</v>
      </c>
      <c r="Q296" s="10">
        <v>1281</v>
      </c>
      <c r="R296" s="11">
        <f>P296-Q296</f>
        <v>441</v>
      </c>
      <c r="S296" s="12">
        <f>R296/P296</f>
        <v>0.25609756097560976</v>
      </c>
      <c r="T296" s="3">
        <v>2</v>
      </c>
      <c r="U296" s="3">
        <v>2</v>
      </c>
      <c r="V296" s="3" t="str">
        <f>IF(U296&lt;=T296+1,"On-Time","Late")</f>
        <v>On-Time</v>
      </c>
      <c r="W296" s="3" t="s">
        <v>79</v>
      </c>
      <c r="X296" s="3" t="s">
        <v>80</v>
      </c>
      <c r="Y296" s="3" t="s">
        <v>137</v>
      </c>
    </row>
    <row r="297" spans="1:25">
      <c r="A297" s="3" t="s">
        <v>442</v>
      </c>
      <c r="B297" s="8">
        <v>46075</v>
      </c>
      <c r="C297" s="8">
        <v>46084</v>
      </c>
      <c r="D297" s="8">
        <v>46104</v>
      </c>
      <c r="E297" s="3" t="s">
        <v>83</v>
      </c>
      <c r="F297" s="3" t="s">
        <v>84</v>
      </c>
      <c r="G297" s="3" t="s">
        <v>85</v>
      </c>
      <c r="H297" s="3" t="s">
        <v>86</v>
      </c>
      <c r="I297" s="3" t="s">
        <v>87</v>
      </c>
      <c r="J297" s="3" t="s">
        <v>88</v>
      </c>
      <c r="K297" s="3" t="s">
        <v>156</v>
      </c>
      <c r="L297" s="3" t="s">
        <v>157</v>
      </c>
      <c r="M297" s="3" t="s">
        <v>167</v>
      </c>
      <c r="N297" s="3">
        <v>6</v>
      </c>
      <c r="O297" s="9">
        <v>71844</v>
      </c>
      <c r="P297" s="10">
        <v>15456</v>
      </c>
      <c r="Q297" s="10">
        <v>13371</v>
      </c>
      <c r="R297" s="11">
        <f>P297-Q297</f>
        <v>2085</v>
      </c>
      <c r="S297" s="12">
        <f>R297/P297</f>
        <v>0.13489906832298137</v>
      </c>
      <c r="T297" s="3">
        <v>18</v>
      </c>
      <c r="U297" s="3">
        <v>20</v>
      </c>
      <c r="V297" s="3" t="str">
        <f>IF(U297&lt;=T297+1,"On-Time","Late")</f>
        <v>Late</v>
      </c>
      <c r="W297" s="3" t="s">
        <v>79</v>
      </c>
      <c r="X297" s="3" t="s">
        <v>111</v>
      </c>
      <c r="Y297" s="3" t="s">
        <v>94</v>
      </c>
    </row>
    <row r="298" spans="1:25">
      <c r="A298" s="3" t="s">
        <v>443</v>
      </c>
      <c r="B298" s="8">
        <v>46051</v>
      </c>
      <c r="C298" s="8">
        <v>46064</v>
      </c>
      <c r="D298" s="8">
        <v>46066</v>
      </c>
      <c r="E298" s="3" t="s">
        <v>103</v>
      </c>
      <c r="F298" s="3" t="s">
        <v>149</v>
      </c>
      <c r="G298" s="3" t="s">
        <v>132</v>
      </c>
      <c r="H298" s="3" t="s">
        <v>105</v>
      </c>
      <c r="I298" s="3" t="s">
        <v>133</v>
      </c>
      <c r="J298" s="3" t="s">
        <v>107</v>
      </c>
      <c r="K298" s="3" t="s">
        <v>113</v>
      </c>
      <c r="L298" s="3" t="s">
        <v>114</v>
      </c>
      <c r="M298" s="3" t="s">
        <v>143</v>
      </c>
      <c r="N298" s="3">
        <v>5.2</v>
      </c>
      <c r="O298" s="9">
        <v>5200</v>
      </c>
      <c r="P298" s="10">
        <v>21372</v>
      </c>
      <c r="Q298" s="10">
        <v>17200</v>
      </c>
      <c r="R298" s="11">
        <f>P298-Q298</f>
        <v>4172</v>
      </c>
      <c r="S298" s="12">
        <f>R298/P298</f>
        <v>0.19520868425977916</v>
      </c>
      <c r="T298" s="3">
        <v>2</v>
      </c>
      <c r="U298" s="3">
        <v>2</v>
      </c>
      <c r="V298" s="3" t="str">
        <f>IF(U298&lt;=T298+1,"On-Time","Late")</f>
        <v>On-Time</v>
      </c>
      <c r="W298" s="3" t="s">
        <v>79</v>
      </c>
      <c r="X298" s="3" t="s">
        <v>116</v>
      </c>
      <c r="Y298" s="3" t="s">
        <v>81</v>
      </c>
    </row>
    <row r="299" spans="1:25">
      <c r="A299" s="3" t="s">
        <v>444</v>
      </c>
      <c r="B299" s="8">
        <v>46070</v>
      </c>
      <c r="C299" s="8">
        <v>46076</v>
      </c>
      <c r="D299" s="8">
        <v>46095</v>
      </c>
      <c r="E299" s="3" t="s">
        <v>83</v>
      </c>
      <c r="F299" s="3" t="s">
        <v>96</v>
      </c>
      <c r="G299" s="3" t="s">
        <v>140</v>
      </c>
      <c r="H299" s="3" t="s">
        <v>86</v>
      </c>
      <c r="I299" s="3" t="s">
        <v>141</v>
      </c>
      <c r="J299" s="3" t="s">
        <v>88</v>
      </c>
      <c r="K299" s="3" t="s">
        <v>89</v>
      </c>
      <c r="L299" s="3" t="s">
        <v>90</v>
      </c>
      <c r="M299" s="3" t="s">
        <v>147</v>
      </c>
      <c r="N299" s="3">
        <v>2</v>
      </c>
      <c r="O299" s="9">
        <v>38080</v>
      </c>
      <c r="P299" s="10">
        <v>5950</v>
      </c>
      <c r="Q299" s="10">
        <v>4961</v>
      </c>
      <c r="R299" s="11">
        <f>P299-Q299</f>
        <v>989</v>
      </c>
      <c r="S299" s="12">
        <f>R299/P299</f>
        <v>0.16621848739495798</v>
      </c>
      <c r="T299" s="3">
        <v>18</v>
      </c>
      <c r="U299" s="3">
        <v>19</v>
      </c>
      <c r="V299" s="3" t="str">
        <f>IF(U299&lt;=T299+1,"On-Time","Late")</f>
        <v>On-Time</v>
      </c>
      <c r="W299" s="3" t="s">
        <v>79</v>
      </c>
      <c r="X299" s="3" t="s">
        <v>80</v>
      </c>
      <c r="Y299" s="3" t="s">
        <v>117</v>
      </c>
    </row>
    <row r="300" spans="1:25">
      <c r="A300" s="3" t="s">
        <v>445</v>
      </c>
      <c r="B300" s="8">
        <v>46091</v>
      </c>
      <c r="C300" s="8">
        <v>46105</v>
      </c>
      <c r="D300" s="8">
        <v>46119</v>
      </c>
      <c r="E300" s="3" t="s">
        <v>83</v>
      </c>
      <c r="F300" s="3" t="s">
        <v>96</v>
      </c>
      <c r="G300" s="3" t="s">
        <v>98</v>
      </c>
      <c r="H300" s="3" t="s">
        <v>99</v>
      </c>
      <c r="I300" s="3" t="s">
        <v>100</v>
      </c>
      <c r="J300" s="3" t="s">
        <v>101</v>
      </c>
      <c r="K300" s="3" t="s">
        <v>76</v>
      </c>
      <c r="L300" s="3" t="s">
        <v>77</v>
      </c>
      <c r="M300" s="3" t="s">
        <v>167</v>
      </c>
      <c r="N300" s="3">
        <v>6</v>
      </c>
      <c r="O300" s="9">
        <v>76986</v>
      </c>
      <c r="P300" s="10">
        <v>14454</v>
      </c>
      <c r="Q300" s="10">
        <v>12051</v>
      </c>
      <c r="R300" s="11">
        <f>P300-Q300</f>
        <v>2403</v>
      </c>
      <c r="S300" s="12">
        <f>R300/P300</f>
        <v>0.16625155666251556</v>
      </c>
      <c r="T300" s="3">
        <v>14</v>
      </c>
      <c r="U300" s="3">
        <v>14</v>
      </c>
      <c r="V300" s="3" t="str">
        <f>IF(U300&lt;=T300+1,"On-Time","Late")</f>
        <v>On-Time</v>
      </c>
      <c r="W300" s="3" t="s">
        <v>79</v>
      </c>
      <c r="X300" s="3" t="s">
        <v>80</v>
      </c>
      <c r="Y300" s="3" t="s">
        <v>94</v>
      </c>
    </row>
    <row r="301" spans="1:25">
      <c r="A301" s="3" t="s">
        <v>446</v>
      </c>
      <c r="B301" s="8">
        <v>46127</v>
      </c>
      <c r="C301" s="8">
        <v>46135</v>
      </c>
      <c r="D301" s="8">
        <v>46151</v>
      </c>
      <c r="E301" s="3" t="s">
        <v>83</v>
      </c>
      <c r="F301" s="3" t="s">
        <v>96</v>
      </c>
      <c r="G301" s="3" t="s">
        <v>163</v>
      </c>
      <c r="H301" s="3" t="s">
        <v>99</v>
      </c>
      <c r="I301" s="3" t="s">
        <v>164</v>
      </c>
      <c r="J301" s="3" t="s">
        <v>101</v>
      </c>
      <c r="K301" s="3" t="s">
        <v>165</v>
      </c>
      <c r="L301" s="3" t="s">
        <v>166</v>
      </c>
      <c r="M301" s="3" t="s">
        <v>91</v>
      </c>
      <c r="N301" s="3">
        <v>1</v>
      </c>
      <c r="O301" s="9">
        <v>11323</v>
      </c>
      <c r="P301" s="10">
        <v>2563</v>
      </c>
      <c r="Q301" s="10">
        <v>2153</v>
      </c>
      <c r="R301" s="11">
        <f>P301-Q301</f>
        <v>410</v>
      </c>
      <c r="S301" s="12">
        <f>R301/P301</f>
        <v>0.15996878657822863</v>
      </c>
      <c r="T301" s="3">
        <v>15</v>
      </c>
      <c r="U301" s="3">
        <v>16</v>
      </c>
      <c r="V301" s="3" t="str">
        <f>IF(U301&lt;=T301+1,"On-Time","Late")</f>
        <v>On-Time</v>
      </c>
      <c r="W301" s="3" t="s">
        <v>79</v>
      </c>
      <c r="X301" s="3" t="s">
        <v>111</v>
      </c>
      <c r="Y301" s="3" t="s">
        <v>92</v>
      </c>
    </row>
    <row r="302" spans="1:25">
      <c r="A302" s="3" t="s">
        <v>447</v>
      </c>
      <c r="B302" s="8">
        <v>46091</v>
      </c>
      <c r="C302" s="8">
        <v>46096</v>
      </c>
      <c r="D302" s="8">
        <v>46115</v>
      </c>
      <c r="E302" s="3" t="s">
        <v>83</v>
      </c>
      <c r="F302" s="3" t="s">
        <v>96</v>
      </c>
      <c r="G302" s="3" t="s">
        <v>140</v>
      </c>
      <c r="H302" s="3" t="s">
        <v>86</v>
      </c>
      <c r="I302" s="3" t="s">
        <v>141</v>
      </c>
      <c r="J302" s="3" t="s">
        <v>88</v>
      </c>
      <c r="K302" s="3" t="s">
        <v>156</v>
      </c>
      <c r="L302" s="3" t="s">
        <v>157</v>
      </c>
      <c r="M302" s="3" t="s">
        <v>130</v>
      </c>
      <c r="N302" s="3">
        <v>3</v>
      </c>
      <c r="O302" s="9">
        <v>57666</v>
      </c>
      <c r="P302" s="10">
        <v>7806</v>
      </c>
      <c r="Q302" s="10">
        <v>6444</v>
      </c>
      <c r="R302" s="11">
        <f>P302-Q302</f>
        <v>1362</v>
      </c>
      <c r="S302" s="12">
        <f>R302/P302</f>
        <v>0.17448116833205227</v>
      </c>
      <c r="T302" s="3">
        <v>18</v>
      </c>
      <c r="U302" s="3">
        <v>19</v>
      </c>
      <c r="V302" s="3" t="str">
        <f>IF(U302&lt;=T302+1,"On-Time","Late")</f>
        <v>On-Time</v>
      </c>
      <c r="W302" s="3" t="s">
        <v>79</v>
      </c>
      <c r="X302" s="3" t="s">
        <v>111</v>
      </c>
      <c r="Y302" s="3" t="s">
        <v>92</v>
      </c>
    </row>
    <row r="303" spans="1:25">
      <c r="A303" s="3" t="s">
        <v>448</v>
      </c>
      <c r="B303" s="8">
        <v>46121</v>
      </c>
      <c r="C303" s="8">
        <v>46135</v>
      </c>
      <c r="D303" s="8">
        <v>46151</v>
      </c>
      <c r="E303" s="3" t="s">
        <v>83</v>
      </c>
      <c r="F303" s="3" t="s">
        <v>84</v>
      </c>
      <c r="G303" s="3" t="s">
        <v>163</v>
      </c>
      <c r="H303" s="3" t="s">
        <v>99</v>
      </c>
      <c r="I303" s="3" t="s">
        <v>164</v>
      </c>
      <c r="J303" s="3" t="s">
        <v>101</v>
      </c>
      <c r="K303" s="3" t="s">
        <v>165</v>
      </c>
      <c r="L303" s="3" t="s">
        <v>166</v>
      </c>
      <c r="M303" s="3" t="s">
        <v>136</v>
      </c>
      <c r="N303" s="3">
        <v>4</v>
      </c>
      <c r="O303" s="9">
        <v>83328</v>
      </c>
      <c r="P303" s="10">
        <v>11872</v>
      </c>
      <c r="Q303" s="10">
        <v>10138</v>
      </c>
      <c r="R303" s="11">
        <f>P303-Q303</f>
        <v>1734</v>
      </c>
      <c r="S303" s="12">
        <f>R303/P303</f>
        <v>0.1460579514824798</v>
      </c>
      <c r="T303" s="3">
        <v>15</v>
      </c>
      <c r="U303" s="3">
        <v>16</v>
      </c>
      <c r="V303" s="3" t="str">
        <f>IF(U303&lt;=T303+1,"On-Time","Late")</f>
        <v>On-Time</v>
      </c>
      <c r="W303" s="3" t="s">
        <v>79</v>
      </c>
      <c r="X303" s="3" t="s">
        <v>111</v>
      </c>
      <c r="Y303" s="3" t="s">
        <v>92</v>
      </c>
    </row>
    <row r="304" spans="1:25">
      <c r="A304" s="3" t="s">
        <v>449</v>
      </c>
      <c r="B304" s="8">
        <v>46115</v>
      </c>
      <c r="C304" s="8">
        <v>46129</v>
      </c>
      <c r="D304" s="8">
        <v>46132</v>
      </c>
      <c r="E304" s="3" t="s">
        <v>103</v>
      </c>
      <c r="F304" s="3" t="s">
        <v>96</v>
      </c>
      <c r="G304" s="3" t="s">
        <v>150</v>
      </c>
      <c r="H304" s="3" t="s">
        <v>119</v>
      </c>
      <c r="I304" s="3" t="s">
        <v>151</v>
      </c>
      <c r="J304" s="3" t="s">
        <v>121</v>
      </c>
      <c r="K304" s="3" t="s">
        <v>152</v>
      </c>
      <c r="L304" s="3" t="s">
        <v>153</v>
      </c>
      <c r="M304" s="3" t="s">
        <v>110</v>
      </c>
      <c r="N304" s="3">
        <v>3.3</v>
      </c>
      <c r="O304" s="9">
        <v>3300</v>
      </c>
      <c r="P304" s="10">
        <v>17424</v>
      </c>
      <c r="Q304" s="10">
        <v>13387</v>
      </c>
      <c r="R304" s="11">
        <f>P304-Q304</f>
        <v>4037</v>
      </c>
      <c r="S304" s="12">
        <f>R304/P304</f>
        <v>0.2316919191919192</v>
      </c>
      <c r="T304" s="3">
        <v>3</v>
      </c>
      <c r="U304" s="3">
        <v>3</v>
      </c>
      <c r="V304" s="3" t="str">
        <f>IF(U304&lt;=T304+1,"On-Time","Late")</f>
        <v>On-Time</v>
      </c>
      <c r="W304" s="3" t="s">
        <v>79</v>
      </c>
      <c r="X304" s="3" t="s">
        <v>111</v>
      </c>
      <c r="Y304" s="3" t="s">
        <v>92</v>
      </c>
    </row>
    <row r="305" spans="1:25">
      <c r="A305" s="3" t="s">
        <v>450</v>
      </c>
      <c r="B305" s="8">
        <v>46138</v>
      </c>
      <c r="C305" s="8">
        <v>46150</v>
      </c>
      <c r="D305" s="8">
        <v>46170</v>
      </c>
      <c r="E305" s="3" t="s">
        <v>83</v>
      </c>
      <c r="F305" s="3" t="s">
        <v>84</v>
      </c>
      <c r="G305" s="3" t="s">
        <v>126</v>
      </c>
      <c r="H305" s="3" t="s">
        <v>86</v>
      </c>
      <c r="I305" s="3" t="s">
        <v>127</v>
      </c>
      <c r="J305" s="3" t="s">
        <v>88</v>
      </c>
      <c r="K305" s="3" t="s">
        <v>156</v>
      </c>
      <c r="L305" s="3" t="s">
        <v>157</v>
      </c>
      <c r="M305" s="3" t="s">
        <v>167</v>
      </c>
      <c r="N305" s="3">
        <v>2</v>
      </c>
      <c r="O305" s="9">
        <v>20296</v>
      </c>
      <c r="P305" s="10">
        <v>6132</v>
      </c>
      <c r="Q305" s="10">
        <v>5191</v>
      </c>
      <c r="R305" s="11">
        <f>P305-Q305</f>
        <v>941</v>
      </c>
      <c r="S305" s="12">
        <f>R305/P305</f>
        <v>0.15345727332028702</v>
      </c>
      <c r="T305" s="3">
        <v>19</v>
      </c>
      <c r="U305" s="3">
        <v>20</v>
      </c>
      <c r="V305" s="3" t="str">
        <f>IF(U305&lt;=T305+1,"On-Time","Late")</f>
        <v>On-Time</v>
      </c>
      <c r="W305" s="3" t="s">
        <v>79</v>
      </c>
      <c r="X305" s="3" t="s">
        <v>111</v>
      </c>
      <c r="Y305" s="3" t="s">
        <v>117</v>
      </c>
    </row>
    <row r="306" spans="1:25">
      <c r="A306" s="3" t="s">
        <v>451</v>
      </c>
      <c r="B306" s="8">
        <v>46101</v>
      </c>
      <c r="C306" s="8">
        <v>46109</v>
      </c>
      <c r="D306" s="8">
        <v>46112</v>
      </c>
      <c r="E306" s="3" t="s">
        <v>103</v>
      </c>
      <c r="F306" s="3" t="s">
        <v>149</v>
      </c>
      <c r="G306" s="3" t="s">
        <v>132</v>
      </c>
      <c r="H306" s="3" t="s">
        <v>105</v>
      </c>
      <c r="I306" s="3" t="s">
        <v>133</v>
      </c>
      <c r="J306" s="3" t="s">
        <v>107</v>
      </c>
      <c r="K306" s="3" t="s">
        <v>113</v>
      </c>
      <c r="L306" s="3" t="s">
        <v>114</v>
      </c>
      <c r="M306" s="3" t="s">
        <v>143</v>
      </c>
      <c r="N306" s="3">
        <v>2.2000000000000002</v>
      </c>
      <c r="O306" s="9">
        <v>2200</v>
      </c>
      <c r="P306" s="10">
        <v>9134</v>
      </c>
      <c r="Q306" s="10">
        <v>7137</v>
      </c>
      <c r="R306" s="11">
        <f>P306-Q306</f>
        <v>1997</v>
      </c>
      <c r="S306" s="12">
        <f>R306/P306</f>
        <v>0.21863367637398731</v>
      </c>
      <c r="T306" s="3">
        <v>2</v>
      </c>
      <c r="U306" s="3">
        <v>3</v>
      </c>
      <c r="V306" s="3" t="str">
        <f>IF(U306&lt;=T306+1,"On-Time","Late")</f>
        <v>On-Time</v>
      </c>
      <c r="W306" s="3" t="s">
        <v>79</v>
      </c>
      <c r="X306" s="3" t="s">
        <v>116</v>
      </c>
      <c r="Y306" s="3" t="s">
        <v>81</v>
      </c>
    </row>
    <row r="307" spans="1:25">
      <c r="A307" s="3" t="s">
        <v>452</v>
      </c>
      <c r="B307" s="8">
        <v>46070</v>
      </c>
      <c r="C307" s="8">
        <v>46077</v>
      </c>
      <c r="D307" s="8">
        <v>46097</v>
      </c>
      <c r="E307" s="3" t="s">
        <v>83</v>
      </c>
      <c r="F307" s="3" t="s">
        <v>84</v>
      </c>
      <c r="G307" s="3" t="s">
        <v>126</v>
      </c>
      <c r="H307" s="3" t="s">
        <v>86</v>
      </c>
      <c r="I307" s="3" t="s">
        <v>127</v>
      </c>
      <c r="J307" s="3" t="s">
        <v>88</v>
      </c>
      <c r="K307" s="3" t="s">
        <v>156</v>
      </c>
      <c r="L307" s="3" t="s">
        <v>157</v>
      </c>
      <c r="M307" s="3" t="s">
        <v>136</v>
      </c>
      <c r="N307" s="3">
        <v>6</v>
      </c>
      <c r="O307" s="9">
        <v>74742</v>
      </c>
      <c r="P307" s="10">
        <v>13968</v>
      </c>
      <c r="Q307" s="10">
        <v>11350</v>
      </c>
      <c r="R307" s="11">
        <f>P307-Q307</f>
        <v>2618</v>
      </c>
      <c r="S307" s="12">
        <f>R307/P307</f>
        <v>0.18742840778923253</v>
      </c>
      <c r="T307" s="3">
        <v>19</v>
      </c>
      <c r="U307" s="3">
        <v>20</v>
      </c>
      <c r="V307" s="3" t="str">
        <f>IF(U307&lt;=T307+1,"On-Time","Late")</f>
        <v>On-Time</v>
      </c>
      <c r="W307" s="3" t="s">
        <v>79</v>
      </c>
      <c r="X307" s="3" t="s">
        <v>111</v>
      </c>
      <c r="Y307" s="3" t="s">
        <v>92</v>
      </c>
    </row>
    <row r="308" spans="1:25">
      <c r="A308" s="3" t="s">
        <v>453</v>
      </c>
      <c r="B308" s="8">
        <v>46121</v>
      </c>
      <c r="C308" s="8">
        <v>46129</v>
      </c>
      <c r="D308" s="8">
        <v>46147</v>
      </c>
      <c r="E308" s="3" t="s">
        <v>83</v>
      </c>
      <c r="F308" s="3" t="s">
        <v>96</v>
      </c>
      <c r="G308" s="3" t="s">
        <v>140</v>
      </c>
      <c r="H308" s="3" t="s">
        <v>86</v>
      </c>
      <c r="I308" s="3" t="s">
        <v>141</v>
      </c>
      <c r="J308" s="3" t="s">
        <v>88</v>
      </c>
      <c r="K308" s="3" t="s">
        <v>156</v>
      </c>
      <c r="L308" s="3" t="s">
        <v>157</v>
      </c>
      <c r="M308" s="3" t="s">
        <v>147</v>
      </c>
      <c r="N308" s="3">
        <v>6</v>
      </c>
      <c r="O308" s="9">
        <v>54486</v>
      </c>
      <c r="P308" s="10">
        <v>14358</v>
      </c>
      <c r="Q308" s="10">
        <v>11676</v>
      </c>
      <c r="R308" s="11">
        <f>P308-Q308</f>
        <v>2682</v>
      </c>
      <c r="S308" s="12">
        <f>R308/P308</f>
        <v>0.18679481821980778</v>
      </c>
      <c r="T308" s="3">
        <v>18</v>
      </c>
      <c r="U308" s="3">
        <v>18</v>
      </c>
      <c r="V308" s="3" t="str">
        <f>IF(U308&lt;=T308+1,"On-Time","Late")</f>
        <v>On-Time</v>
      </c>
      <c r="W308" s="3" t="s">
        <v>79</v>
      </c>
      <c r="X308" s="3" t="s">
        <v>111</v>
      </c>
      <c r="Y308" s="3" t="s">
        <v>137</v>
      </c>
    </row>
    <row r="309" spans="1:25">
      <c r="A309" s="3" t="s">
        <v>454</v>
      </c>
      <c r="B309" s="8">
        <v>46030</v>
      </c>
      <c r="C309" s="8">
        <v>46043</v>
      </c>
      <c r="D309" s="8">
        <v>46062</v>
      </c>
      <c r="E309" s="3" t="s">
        <v>83</v>
      </c>
      <c r="F309" s="3" t="s">
        <v>96</v>
      </c>
      <c r="G309" s="3" t="s">
        <v>126</v>
      </c>
      <c r="H309" s="3" t="s">
        <v>86</v>
      </c>
      <c r="I309" s="3" t="s">
        <v>127</v>
      </c>
      <c r="J309" s="3" t="s">
        <v>88</v>
      </c>
      <c r="K309" s="3" t="s">
        <v>128</v>
      </c>
      <c r="L309" s="3" t="s">
        <v>129</v>
      </c>
      <c r="M309" s="3" t="s">
        <v>130</v>
      </c>
      <c r="N309" s="3">
        <v>2</v>
      </c>
      <c r="O309" s="9">
        <v>29400</v>
      </c>
      <c r="P309" s="10">
        <v>4636</v>
      </c>
      <c r="Q309" s="10">
        <v>3882</v>
      </c>
      <c r="R309" s="11">
        <f>P309-Q309</f>
        <v>754</v>
      </c>
      <c r="S309" s="12">
        <f>R309/P309</f>
        <v>0.16264020707506471</v>
      </c>
      <c r="T309" s="3">
        <v>19</v>
      </c>
      <c r="U309" s="3">
        <v>19</v>
      </c>
      <c r="V309" s="3" t="str">
        <f>IF(U309&lt;=T309+1,"On-Time","Late")</f>
        <v>On-Time</v>
      </c>
      <c r="W309" s="3" t="s">
        <v>79</v>
      </c>
      <c r="X309" s="3" t="s">
        <v>116</v>
      </c>
      <c r="Y309" s="3" t="s">
        <v>92</v>
      </c>
    </row>
    <row r="310" spans="1:25">
      <c r="A310" s="3" t="s">
        <v>455</v>
      </c>
      <c r="B310" s="8">
        <v>46092</v>
      </c>
      <c r="C310" s="8">
        <v>46098</v>
      </c>
      <c r="D310" s="8">
        <v>46114</v>
      </c>
      <c r="E310" s="3" t="s">
        <v>83</v>
      </c>
      <c r="F310" s="3" t="s">
        <v>84</v>
      </c>
      <c r="G310" s="3" t="s">
        <v>163</v>
      </c>
      <c r="H310" s="3" t="s">
        <v>99</v>
      </c>
      <c r="I310" s="3" t="s">
        <v>164</v>
      </c>
      <c r="J310" s="3" t="s">
        <v>101</v>
      </c>
      <c r="K310" s="3" t="s">
        <v>165</v>
      </c>
      <c r="L310" s="3" t="s">
        <v>166</v>
      </c>
      <c r="M310" s="3" t="s">
        <v>91</v>
      </c>
      <c r="N310" s="3">
        <v>4</v>
      </c>
      <c r="O310" s="9">
        <v>39152</v>
      </c>
      <c r="P310" s="10">
        <v>11400</v>
      </c>
      <c r="Q310" s="10">
        <v>9556</v>
      </c>
      <c r="R310" s="11">
        <f>P310-Q310</f>
        <v>1844</v>
      </c>
      <c r="S310" s="12">
        <f>R310/P310</f>
        <v>0.16175438596491229</v>
      </c>
      <c r="T310" s="3">
        <v>15</v>
      </c>
      <c r="U310" s="3">
        <v>16</v>
      </c>
      <c r="V310" s="3" t="str">
        <f>IF(U310&lt;=T310+1,"On-Time","Late")</f>
        <v>On-Time</v>
      </c>
      <c r="W310" s="3" t="s">
        <v>79</v>
      </c>
      <c r="X310" s="3" t="s">
        <v>111</v>
      </c>
      <c r="Y310" s="3" t="s">
        <v>94</v>
      </c>
    </row>
    <row r="311" spans="1:25">
      <c r="A311" s="3" t="s">
        <v>456</v>
      </c>
      <c r="B311" s="8">
        <v>46062</v>
      </c>
      <c r="C311" s="8">
        <v>46070</v>
      </c>
      <c r="D311" s="8">
        <v>46085</v>
      </c>
      <c r="E311" s="3" t="s">
        <v>83</v>
      </c>
      <c r="F311" s="3" t="s">
        <v>96</v>
      </c>
      <c r="G311" s="3" t="s">
        <v>163</v>
      </c>
      <c r="H311" s="3" t="s">
        <v>99</v>
      </c>
      <c r="I311" s="3" t="s">
        <v>164</v>
      </c>
      <c r="J311" s="3" t="s">
        <v>101</v>
      </c>
      <c r="K311" s="3" t="s">
        <v>76</v>
      </c>
      <c r="L311" s="3" t="s">
        <v>77</v>
      </c>
      <c r="M311" s="3" t="s">
        <v>167</v>
      </c>
      <c r="N311" s="3">
        <v>2</v>
      </c>
      <c r="O311" s="9">
        <v>41090</v>
      </c>
      <c r="P311" s="10">
        <v>5930</v>
      </c>
      <c r="Q311" s="10">
        <v>4894</v>
      </c>
      <c r="R311" s="11">
        <f>P311-Q311</f>
        <v>1036</v>
      </c>
      <c r="S311" s="12">
        <f>R311/P311</f>
        <v>0.17470489038785836</v>
      </c>
      <c r="T311" s="3">
        <v>15</v>
      </c>
      <c r="U311" s="3">
        <v>15</v>
      </c>
      <c r="V311" s="3" t="str">
        <f>IF(U311&lt;=T311+1,"On-Time","Late")</f>
        <v>On-Time</v>
      </c>
      <c r="W311" s="3" t="s">
        <v>79</v>
      </c>
      <c r="X311" s="3" t="s">
        <v>80</v>
      </c>
      <c r="Y311" s="3" t="s">
        <v>137</v>
      </c>
    </row>
    <row r="312" spans="1:25">
      <c r="A312" s="3" t="s">
        <v>457</v>
      </c>
      <c r="B312" s="8">
        <v>46145</v>
      </c>
      <c r="C312" s="8">
        <v>46152</v>
      </c>
      <c r="D312" s="8">
        <v>46167</v>
      </c>
      <c r="E312" s="3" t="s">
        <v>83</v>
      </c>
      <c r="F312" s="3" t="s">
        <v>96</v>
      </c>
      <c r="G312" s="3" t="s">
        <v>163</v>
      </c>
      <c r="H312" s="3" t="s">
        <v>99</v>
      </c>
      <c r="I312" s="3" t="s">
        <v>164</v>
      </c>
      <c r="J312" s="3" t="s">
        <v>101</v>
      </c>
      <c r="K312" s="3" t="s">
        <v>76</v>
      </c>
      <c r="L312" s="3" t="s">
        <v>77</v>
      </c>
      <c r="M312" s="3" t="s">
        <v>167</v>
      </c>
      <c r="N312" s="3">
        <v>6</v>
      </c>
      <c r="O312" s="9">
        <v>88494</v>
      </c>
      <c r="P312" s="10">
        <v>17550</v>
      </c>
      <c r="Q312" s="10">
        <v>14879</v>
      </c>
      <c r="R312" s="11">
        <f>P312-Q312</f>
        <v>2671</v>
      </c>
      <c r="S312" s="12">
        <f>R312/P312</f>
        <v>0.1521937321937322</v>
      </c>
      <c r="T312" s="3">
        <v>15</v>
      </c>
      <c r="U312" s="3">
        <v>15</v>
      </c>
      <c r="V312" s="3" t="str">
        <f>IF(U312&lt;=T312+1,"On-Time","Late")</f>
        <v>On-Time</v>
      </c>
      <c r="W312" s="3" t="s">
        <v>79</v>
      </c>
      <c r="X312" s="3" t="s">
        <v>80</v>
      </c>
      <c r="Y312" s="3" t="s">
        <v>117</v>
      </c>
    </row>
    <row r="313" spans="1:25">
      <c r="A313" s="3" t="s">
        <v>458</v>
      </c>
      <c r="B313" s="8">
        <v>46155</v>
      </c>
      <c r="C313" s="8">
        <v>46169</v>
      </c>
      <c r="D313" s="8">
        <v>46188</v>
      </c>
      <c r="E313" s="3" t="s">
        <v>83</v>
      </c>
      <c r="F313" s="3" t="s">
        <v>96</v>
      </c>
      <c r="G313" s="3" t="s">
        <v>85</v>
      </c>
      <c r="H313" s="3" t="s">
        <v>86</v>
      </c>
      <c r="I313" s="3" t="s">
        <v>87</v>
      </c>
      <c r="J313" s="3" t="s">
        <v>88</v>
      </c>
      <c r="K313" s="3" t="s">
        <v>89</v>
      </c>
      <c r="L313" s="3" t="s">
        <v>90</v>
      </c>
      <c r="M313" s="3" t="s">
        <v>136</v>
      </c>
      <c r="N313" s="3">
        <v>1</v>
      </c>
      <c r="O313" s="9">
        <v>20817</v>
      </c>
      <c r="P313" s="10">
        <v>2874</v>
      </c>
      <c r="Q313" s="10">
        <v>2571</v>
      </c>
      <c r="R313" s="11">
        <f>P313-Q313</f>
        <v>303</v>
      </c>
      <c r="S313" s="12">
        <f>R313/P313</f>
        <v>0.10542797494780794</v>
      </c>
      <c r="T313" s="3">
        <v>18</v>
      </c>
      <c r="U313" s="3">
        <v>19</v>
      </c>
      <c r="V313" s="3" t="str">
        <f>IF(U313&lt;=T313+1,"On-Time","Late")</f>
        <v>On-Time</v>
      </c>
      <c r="W313" s="3" t="s">
        <v>196</v>
      </c>
      <c r="X313" s="3" t="s">
        <v>80</v>
      </c>
      <c r="Y313" s="3" t="s">
        <v>94</v>
      </c>
    </row>
    <row r="314" spans="1:25">
      <c r="A314" s="3" t="s">
        <v>459</v>
      </c>
      <c r="B314" s="8">
        <v>46065</v>
      </c>
      <c r="C314" s="8">
        <v>46070</v>
      </c>
      <c r="D314" s="8">
        <v>46084</v>
      </c>
      <c r="E314" s="3" t="s">
        <v>83</v>
      </c>
      <c r="F314" s="3" t="s">
        <v>96</v>
      </c>
      <c r="G314" s="3" t="s">
        <v>98</v>
      </c>
      <c r="H314" s="3" t="s">
        <v>99</v>
      </c>
      <c r="I314" s="3" t="s">
        <v>100</v>
      </c>
      <c r="J314" s="3" t="s">
        <v>101</v>
      </c>
      <c r="K314" s="3" t="s">
        <v>165</v>
      </c>
      <c r="L314" s="3" t="s">
        <v>166</v>
      </c>
      <c r="M314" s="3" t="s">
        <v>130</v>
      </c>
      <c r="N314" s="3">
        <v>1</v>
      </c>
      <c r="O314" s="9">
        <v>12322</v>
      </c>
      <c r="P314" s="10">
        <v>3267</v>
      </c>
      <c r="Q314" s="10">
        <v>2672</v>
      </c>
      <c r="R314" s="11">
        <f>P314-Q314</f>
        <v>595</v>
      </c>
      <c r="S314" s="12">
        <f>R314/P314</f>
        <v>0.18212427303336395</v>
      </c>
      <c r="T314" s="3">
        <v>14</v>
      </c>
      <c r="U314" s="3">
        <v>14</v>
      </c>
      <c r="V314" s="3" t="str">
        <f>IF(U314&lt;=T314+1,"On-Time","Late")</f>
        <v>On-Time</v>
      </c>
      <c r="W314" s="3" t="s">
        <v>79</v>
      </c>
      <c r="X314" s="3" t="s">
        <v>111</v>
      </c>
      <c r="Y314" s="3" t="s">
        <v>137</v>
      </c>
    </row>
    <row r="315" spans="1:25">
      <c r="A315" s="3" t="s">
        <v>460</v>
      </c>
      <c r="B315" s="8">
        <v>46024</v>
      </c>
      <c r="C315" s="8">
        <v>46037</v>
      </c>
      <c r="D315" s="8">
        <v>46039</v>
      </c>
      <c r="E315" s="3" t="s">
        <v>103</v>
      </c>
      <c r="F315" s="3" t="s">
        <v>96</v>
      </c>
      <c r="G315" s="3" t="s">
        <v>104</v>
      </c>
      <c r="H315" s="3" t="s">
        <v>105</v>
      </c>
      <c r="I315" s="3" t="s">
        <v>106</v>
      </c>
      <c r="J315" s="3" t="s">
        <v>107</v>
      </c>
      <c r="K315" s="3" t="s">
        <v>113</v>
      </c>
      <c r="L315" s="3" t="s">
        <v>114</v>
      </c>
      <c r="M315" s="3" t="s">
        <v>143</v>
      </c>
      <c r="N315" s="3">
        <v>4.5</v>
      </c>
      <c r="O315" s="9">
        <v>4500</v>
      </c>
      <c r="P315" s="10">
        <v>17437</v>
      </c>
      <c r="Q315" s="10">
        <v>13440</v>
      </c>
      <c r="R315" s="11">
        <f>P315-Q315</f>
        <v>3997</v>
      </c>
      <c r="S315" s="12">
        <f>R315/P315</f>
        <v>0.22922521075873142</v>
      </c>
      <c r="T315" s="3">
        <v>2</v>
      </c>
      <c r="U315" s="3">
        <v>2</v>
      </c>
      <c r="V315" s="3" t="str">
        <f>IF(U315&lt;=T315+1,"On-Time","Late")</f>
        <v>On-Time</v>
      </c>
      <c r="W315" s="3" t="s">
        <v>79</v>
      </c>
      <c r="X315" s="3" t="s">
        <v>116</v>
      </c>
      <c r="Y315" s="3" t="s">
        <v>117</v>
      </c>
    </row>
    <row r="316" spans="1:25">
      <c r="A316" s="3" t="s">
        <v>461</v>
      </c>
      <c r="B316" s="8">
        <v>46119</v>
      </c>
      <c r="C316" s="8">
        <v>46131</v>
      </c>
      <c r="D316" s="8">
        <v>46134</v>
      </c>
      <c r="E316" s="3" t="s">
        <v>103</v>
      </c>
      <c r="F316" s="3" t="s">
        <v>71</v>
      </c>
      <c r="G316" s="3" t="s">
        <v>104</v>
      </c>
      <c r="H316" s="3" t="s">
        <v>105</v>
      </c>
      <c r="I316" s="3" t="s">
        <v>106</v>
      </c>
      <c r="J316" s="3" t="s">
        <v>107</v>
      </c>
      <c r="K316" s="3" t="s">
        <v>113</v>
      </c>
      <c r="L316" s="3" t="s">
        <v>114</v>
      </c>
      <c r="M316" s="3" t="s">
        <v>143</v>
      </c>
      <c r="N316" s="3">
        <v>4.4000000000000004</v>
      </c>
      <c r="O316" s="9">
        <v>4400</v>
      </c>
      <c r="P316" s="10">
        <v>20688</v>
      </c>
      <c r="Q316" s="10">
        <v>16442</v>
      </c>
      <c r="R316" s="11">
        <f>P316-Q316</f>
        <v>4246</v>
      </c>
      <c r="S316" s="12">
        <f>R316/P316</f>
        <v>0.20523975251353441</v>
      </c>
      <c r="T316" s="3">
        <v>2</v>
      </c>
      <c r="U316" s="3">
        <v>3</v>
      </c>
      <c r="V316" s="3" t="str">
        <f>IF(U316&lt;=T316+1,"On-Time","Late")</f>
        <v>On-Time</v>
      </c>
      <c r="W316" s="3" t="s">
        <v>79</v>
      </c>
      <c r="X316" s="3" t="s">
        <v>116</v>
      </c>
      <c r="Y316" s="3" t="s">
        <v>137</v>
      </c>
    </row>
    <row r="317" spans="1:25">
      <c r="A317" s="3" t="s">
        <v>462</v>
      </c>
      <c r="B317" s="8">
        <v>46054</v>
      </c>
      <c r="C317" s="8">
        <v>46066</v>
      </c>
      <c r="D317" s="8">
        <v>46068</v>
      </c>
      <c r="E317" s="3" t="s">
        <v>103</v>
      </c>
      <c r="F317" s="3" t="s">
        <v>96</v>
      </c>
      <c r="G317" s="3" t="s">
        <v>104</v>
      </c>
      <c r="H317" s="3" t="s">
        <v>105</v>
      </c>
      <c r="I317" s="3" t="s">
        <v>106</v>
      </c>
      <c r="J317" s="3" t="s">
        <v>107</v>
      </c>
      <c r="K317" s="3" t="s">
        <v>108</v>
      </c>
      <c r="L317" s="3" t="s">
        <v>109</v>
      </c>
      <c r="M317" s="3" t="s">
        <v>143</v>
      </c>
      <c r="N317" s="3">
        <v>2</v>
      </c>
      <c r="O317" s="9">
        <v>2000</v>
      </c>
      <c r="P317" s="10">
        <v>9254</v>
      </c>
      <c r="Q317" s="10">
        <v>7365</v>
      </c>
      <c r="R317" s="11">
        <f>P317-Q317</f>
        <v>1889</v>
      </c>
      <c r="S317" s="12">
        <f>R317/P317</f>
        <v>0.20412794467257403</v>
      </c>
      <c r="T317" s="3">
        <v>2</v>
      </c>
      <c r="U317" s="3">
        <v>2</v>
      </c>
      <c r="V317" s="3" t="str">
        <f>IF(U317&lt;=T317+1,"On-Time","Late")</f>
        <v>On-Time</v>
      </c>
      <c r="W317" s="3" t="s">
        <v>79</v>
      </c>
      <c r="X317" s="3" t="s">
        <v>111</v>
      </c>
      <c r="Y317" s="3" t="s">
        <v>81</v>
      </c>
    </row>
    <row r="318" spans="1:25">
      <c r="A318" s="3" t="s">
        <v>463</v>
      </c>
      <c r="B318" s="8">
        <v>46101</v>
      </c>
      <c r="C318" s="8">
        <v>46110</v>
      </c>
      <c r="D318" s="8">
        <v>46128</v>
      </c>
      <c r="E318" s="3" t="s">
        <v>83</v>
      </c>
      <c r="F318" s="3" t="s">
        <v>84</v>
      </c>
      <c r="G318" s="3" t="s">
        <v>140</v>
      </c>
      <c r="H318" s="3" t="s">
        <v>86</v>
      </c>
      <c r="I318" s="3" t="s">
        <v>141</v>
      </c>
      <c r="J318" s="3" t="s">
        <v>88</v>
      </c>
      <c r="K318" s="3" t="s">
        <v>152</v>
      </c>
      <c r="L318" s="3" t="s">
        <v>153</v>
      </c>
      <c r="M318" s="3" t="s">
        <v>91</v>
      </c>
      <c r="N318" s="3">
        <v>2</v>
      </c>
      <c r="O318" s="9">
        <v>22300</v>
      </c>
      <c r="P318" s="10">
        <v>5924</v>
      </c>
      <c r="Q318" s="10">
        <v>4947</v>
      </c>
      <c r="R318" s="11">
        <f>P318-Q318</f>
        <v>977</v>
      </c>
      <c r="S318" s="12">
        <f>R318/P318</f>
        <v>0.1649223497636732</v>
      </c>
      <c r="T318" s="3">
        <v>18</v>
      </c>
      <c r="U318" s="3">
        <v>18</v>
      </c>
      <c r="V318" s="3" t="str">
        <f>IF(U318&lt;=T318+1,"On-Time","Late")</f>
        <v>On-Time</v>
      </c>
      <c r="W318" s="3" t="s">
        <v>79</v>
      </c>
      <c r="X318" s="3" t="s">
        <v>111</v>
      </c>
      <c r="Y318" s="3" t="s">
        <v>94</v>
      </c>
    </row>
    <row r="319" spans="1:25">
      <c r="A319" s="3" t="s">
        <v>464</v>
      </c>
      <c r="B319" s="8">
        <v>46040</v>
      </c>
      <c r="C319" s="8">
        <v>46046</v>
      </c>
      <c r="D319" s="8">
        <v>46065</v>
      </c>
      <c r="E319" s="3" t="s">
        <v>83</v>
      </c>
      <c r="F319" s="3" t="s">
        <v>96</v>
      </c>
      <c r="G319" s="3" t="s">
        <v>85</v>
      </c>
      <c r="H319" s="3" t="s">
        <v>86</v>
      </c>
      <c r="I319" s="3" t="s">
        <v>87</v>
      </c>
      <c r="J319" s="3" t="s">
        <v>88</v>
      </c>
      <c r="K319" s="3" t="s">
        <v>89</v>
      </c>
      <c r="L319" s="3" t="s">
        <v>90</v>
      </c>
      <c r="M319" s="3" t="s">
        <v>136</v>
      </c>
      <c r="N319" s="3">
        <v>1</v>
      </c>
      <c r="O319" s="9">
        <v>13335</v>
      </c>
      <c r="P319" s="10">
        <v>2575</v>
      </c>
      <c r="Q319" s="10">
        <v>2140</v>
      </c>
      <c r="R319" s="11">
        <f>P319-Q319</f>
        <v>435</v>
      </c>
      <c r="S319" s="12">
        <f>R319/P319</f>
        <v>0.16893203883495145</v>
      </c>
      <c r="T319" s="3">
        <v>18</v>
      </c>
      <c r="U319" s="3">
        <v>19</v>
      </c>
      <c r="V319" s="3" t="str">
        <f>IF(U319&lt;=T319+1,"On-Time","Late")</f>
        <v>On-Time</v>
      </c>
      <c r="W319" s="3" t="s">
        <v>79</v>
      </c>
      <c r="X319" s="3" t="s">
        <v>80</v>
      </c>
      <c r="Y319" s="3" t="s">
        <v>117</v>
      </c>
    </row>
    <row r="320" spans="1:25">
      <c r="A320" s="3" t="s">
        <v>465</v>
      </c>
      <c r="B320" s="8">
        <v>46046</v>
      </c>
      <c r="C320" s="8">
        <v>46056</v>
      </c>
      <c r="D320" s="8">
        <v>46063</v>
      </c>
      <c r="E320" s="3" t="s">
        <v>103</v>
      </c>
      <c r="F320" s="3" t="s">
        <v>71</v>
      </c>
      <c r="G320" s="3" t="s">
        <v>132</v>
      </c>
      <c r="H320" s="3" t="s">
        <v>105</v>
      </c>
      <c r="I320" s="3" t="s">
        <v>133</v>
      </c>
      <c r="J320" s="3" t="s">
        <v>107</v>
      </c>
      <c r="K320" s="3" t="s">
        <v>113</v>
      </c>
      <c r="L320" s="3" t="s">
        <v>114</v>
      </c>
      <c r="M320" s="3" t="s">
        <v>110</v>
      </c>
      <c r="N320" s="3">
        <v>3.1</v>
      </c>
      <c r="O320" s="9">
        <v>3100</v>
      </c>
      <c r="P320" s="10">
        <v>11290</v>
      </c>
      <c r="Q320" s="10">
        <v>8795</v>
      </c>
      <c r="R320" s="11">
        <f>P320-Q320</f>
        <v>2495</v>
      </c>
      <c r="S320" s="12">
        <f>R320/P320</f>
        <v>0.22099202834366696</v>
      </c>
      <c r="T320" s="3">
        <v>2</v>
      </c>
      <c r="U320" s="3">
        <v>7</v>
      </c>
      <c r="V320" s="3" t="str">
        <f>IF(U320&lt;=T320+1,"On-Time","Late")</f>
        <v>Late</v>
      </c>
      <c r="W320" s="3" t="s">
        <v>79</v>
      </c>
      <c r="X320" s="3" t="s">
        <v>116</v>
      </c>
      <c r="Y320" s="3" t="s">
        <v>137</v>
      </c>
    </row>
    <row r="321" spans="1:25">
      <c r="A321" s="3" t="s">
        <v>466</v>
      </c>
      <c r="B321" s="8">
        <v>46129</v>
      </c>
      <c r="C321" s="8">
        <v>46138</v>
      </c>
      <c r="D321" s="8">
        <v>46160</v>
      </c>
      <c r="E321" s="3" t="s">
        <v>83</v>
      </c>
      <c r="F321" s="3" t="s">
        <v>96</v>
      </c>
      <c r="G321" s="3" t="s">
        <v>85</v>
      </c>
      <c r="H321" s="3" t="s">
        <v>86</v>
      </c>
      <c r="I321" s="3" t="s">
        <v>87</v>
      </c>
      <c r="J321" s="3" t="s">
        <v>88</v>
      </c>
      <c r="K321" s="3" t="s">
        <v>128</v>
      </c>
      <c r="L321" s="3" t="s">
        <v>129</v>
      </c>
      <c r="M321" s="3" t="s">
        <v>130</v>
      </c>
      <c r="N321" s="3">
        <v>2</v>
      </c>
      <c r="O321" s="9">
        <v>37786</v>
      </c>
      <c r="P321" s="10">
        <v>4632</v>
      </c>
      <c r="Q321" s="10">
        <v>4117</v>
      </c>
      <c r="R321" s="11">
        <f>P321-Q321</f>
        <v>515</v>
      </c>
      <c r="S321" s="12">
        <f>R321/P321</f>
        <v>0.11118307426597582</v>
      </c>
      <c r="T321" s="3">
        <v>18</v>
      </c>
      <c r="U321" s="3">
        <v>22</v>
      </c>
      <c r="V321" s="3" t="str">
        <f>IF(U321&lt;=T321+1,"On-Time","Late")</f>
        <v>Late</v>
      </c>
      <c r="W321" s="3" t="s">
        <v>79</v>
      </c>
      <c r="X321" s="3" t="s">
        <v>116</v>
      </c>
      <c r="Y321" s="3" t="s">
        <v>137</v>
      </c>
    </row>
    <row r="322" spans="1:25">
      <c r="A322" s="3" t="s">
        <v>467</v>
      </c>
      <c r="B322" s="8">
        <v>46106</v>
      </c>
      <c r="C322" s="8">
        <v>46112</v>
      </c>
      <c r="D322" s="8">
        <v>46127</v>
      </c>
      <c r="E322" s="3" t="s">
        <v>83</v>
      </c>
      <c r="F322" s="3" t="s">
        <v>96</v>
      </c>
      <c r="G322" s="3" t="s">
        <v>163</v>
      </c>
      <c r="H322" s="3" t="s">
        <v>99</v>
      </c>
      <c r="I322" s="3" t="s">
        <v>164</v>
      </c>
      <c r="J322" s="3" t="s">
        <v>101</v>
      </c>
      <c r="K322" s="3" t="s">
        <v>76</v>
      </c>
      <c r="L322" s="3" t="s">
        <v>77</v>
      </c>
      <c r="M322" s="3" t="s">
        <v>91</v>
      </c>
      <c r="N322" s="3">
        <v>2</v>
      </c>
      <c r="O322" s="9">
        <v>28114</v>
      </c>
      <c r="P322" s="10">
        <v>6282</v>
      </c>
      <c r="Q322" s="10">
        <v>5340</v>
      </c>
      <c r="R322" s="11">
        <f>P322-Q322</f>
        <v>942</v>
      </c>
      <c r="S322" s="12">
        <f>R322/P322</f>
        <v>0.14995224450811842</v>
      </c>
      <c r="T322" s="3">
        <v>15</v>
      </c>
      <c r="U322" s="3">
        <v>15</v>
      </c>
      <c r="V322" s="3" t="str">
        <f>IF(U322&lt;=T322+1,"On-Time","Late")</f>
        <v>On-Time</v>
      </c>
      <c r="W322" s="3" t="s">
        <v>79</v>
      </c>
      <c r="X322" s="3" t="s">
        <v>80</v>
      </c>
      <c r="Y322" s="3" t="s">
        <v>137</v>
      </c>
    </row>
    <row r="323" spans="1:25">
      <c r="A323" s="3" t="s">
        <v>468</v>
      </c>
      <c r="B323" s="8">
        <v>46067</v>
      </c>
      <c r="C323" s="8">
        <v>46073</v>
      </c>
      <c r="D323" s="8">
        <v>46091</v>
      </c>
      <c r="E323" s="3" t="s">
        <v>83</v>
      </c>
      <c r="F323" s="3" t="s">
        <v>84</v>
      </c>
      <c r="G323" s="3" t="s">
        <v>140</v>
      </c>
      <c r="H323" s="3" t="s">
        <v>86</v>
      </c>
      <c r="I323" s="3" t="s">
        <v>141</v>
      </c>
      <c r="J323" s="3" t="s">
        <v>88</v>
      </c>
      <c r="K323" s="3" t="s">
        <v>156</v>
      </c>
      <c r="L323" s="3" t="s">
        <v>157</v>
      </c>
      <c r="M323" s="3" t="s">
        <v>130</v>
      </c>
      <c r="N323" s="3">
        <v>4</v>
      </c>
      <c r="O323" s="9">
        <v>69968</v>
      </c>
      <c r="P323" s="10">
        <v>11372</v>
      </c>
      <c r="Q323" s="10">
        <v>9413</v>
      </c>
      <c r="R323" s="11">
        <f>P323-Q323</f>
        <v>1959</v>
      </c>
      <c r="S323" s="12">
        <f>R323/P323</f>
        <v>0.17226521280337673</v>
      </c>
      <c r="T323" s="3">
        <v>18</v>
      </c>
      <c r="U323" s="3">
        <v>18</v>
      </c>
      <c r="V323" s="3" t="str">
        <f>IF(U323&lt;=T323+1,"On-Time","Late")</f>
        <v>On-Time</v>
      </c>
      <c r="W323" s="3" t="s">
        <v>79</v>
      </c>
      <c r="X323" s="3" t="s">
        <v>111</v>
      </c>
      <c r="Y323" s="3" t="s">
        <v>81</v>
      </c>
    </row>
    <row r="324" spans="1:25">
      <c r="A324" s="3" t="s">
        <v>469</v>
      </c>
      <c r="B324" s="8">
        <v>46058</v>
      </c>
      <c r="C324" s="8">
        <v>46072</v>
      </c>
      <c r="D324" s="8">
        <v>46093</v>
      </c>
      <c r="E324" s="3" t="s">
        <v>83</v>
      </c>
      <c r="F324" s="3" t="s">
        <v>96</v>
      </c>
      <c r="G324" s="3" t="s">
        <v>126</v>
      </c>
      <c r="H324" s="3" t="s">
        <v>86</v>
      </c>
      <c r="I324" s="3" t="s">
        <v>127</v>
      </c>
      <c r="J324" s="3" t="s">
        <v>88</v>
      </c>
      <c r="K324" s="3" t="s">
        <v>128</v>
      </c>
      <c r="L324" s="3" t="s">
        <v>129</v>
      </c>
      <c r="M324" s="3" t="s">
        <v>167</v>
      </c>
      <c r="N324" s="3">
        <v>2</v>
      </c>
      <c r="O324" s="9">
        <v>24368</v>
      </c>
      <c r="P324" s="10">
        <v>6534</v>
      </c>
      <c r="Q324" s="10">
        <v>5276</v>
      </c>
      <c r="R324" s="11">
        <f>P324-Q324</f>
        <v>1258</v>
      </c>
      <c r="S324" s="12">
        <f>R324/P324</f>
        <v>0.19253137434955617</v>
      </c>
      <c r="T324" s="3">
        <v>19</v>
      </c>
      <c r="U324" s="3">
        <v>21</v>
      </c>
      <c r="V324" s="3" t="str">
        <f>IF(U324&lt;=T324+1,"On-Time","Late")</f>
        <v>Late</v>
      </c>
      <c r="W324" s="3" t="s">
        <v>79</v>
      </c>
      <c r="X324" s="3" t="s">
        <v>116</v>
      </c>
      <c r="Y324" s="3" t="s">
        <v>92</v>
      </c>
    </row>
    <row r="325" spans="1:25">
      <c r="A325" s="3" t="s">
        <v>470</v>
      </c>
      <c r="B325" s="8">
        <v>46065</v>
      </c>
      <c r="C325" s="8">
        <v>46072</v>
      </c>
      <c r="D325" s="8">
        <v>46075</v>
      </c>
      <c r="E325" s="3" t="s">
        <v>103</v>
      </c>
      <c r="F325" s="3" t="s">
        <v>96</v>
      </c>
      <c r="G325" s="3" t="s">
        <v>104</v>
      </c>
      <c r="H325" s="3" t="s">
        <v>105</v>
      </c>
      <c r="I325" s="3" t="s">
        <v>106</v>
      </c>
      <c r="J325" s="3" t="s">
        <v>107</v>
      </c>
      <c r="K325" s="3" t="s">
        <v>108</v>
      </c>
      <c r="L325" s="3" t="s">
        <v>109</v>
      </c>
      <c r="M325" s="3" t="s">
        <v>143</v>
      </c>
      <c r="N325" s="3">
        <v>2.2999999999999998</v>
      </c>
      <c r="O325" s="9">
        <v>2300</v>
      </c>
      <c r="P325" s="10">
        <v>10483</v>
      </c>
      <c r="Q325" s="10">
        <v>8221</v>
      </c>
      <c r="R325" s="11">
        <f>P325-Q325</f>
        <v>2262</v>
      </c>
      <c r="S325" s="12">
        <f>R325/P325</f>
        <v>0.21577792616617381</v>
      </c>
      <c r="T325" s="3">
        <v>2</v>
      </c>
      <c r="U325" s="3">
        <v>3</v>
      </c>
      <c r="V325" s="3" t="str">
        <f>IF(U325&lt;=T325+1,"On-Time","Late")</f>
        <v>On-Time</v>
      </c>
      <c r="W325" s="3" t="s">
        <v>79</v>
      </c>
      <c r="X325" s="3" t="s">
        <v>111</v>
      </c>
      <c r="Y325" s="3" t="s">
        <v>137</v>
      </c>
    </row>
    <row r="326" spans="1:25">
      <c r="A326" s="3" t="s">
        <v>471</v>
      </c>
      <c r="B326" s="8">
        <v>46056</v>
      </c>
      <c r="C326" s="8">
        <v>46064</v>
      </c>
      <c r="D326" s="8">
        <v>46079</v>
      </c>
      <c r="E326" s="3" t="s">
        <v>83</v>
      </c>
      <c r="F326" s="3" t="s">
        <v>96</v>
      </c>
      <c r="G326" s="3" t="s">
        <v>98</v>
      </c>
      <c r="H326" s="3" t="s">
        <v>99</v>
      </c>
      <c r="I326" s="3" t="s">
        <v>100</v>
      </c>
      <c r="J326" s="3" t="s">
        <v>101</v>
      </c>
      <c r="K326" s="3" t="s">
        <v>76</v>
      </c>
      <c r="L326" s="3" t="s">
        <v>77</v>
      </c>
      <c r="M326" s="3" t="s">
        <v>130</v>
      </c>
      <c r="N326" s="3">
        <v>6</v>
      </c>
      <c r="O326" s="9">
        <v>109992</v>
      </c>
      <c r="P326" s="10">
        <v>15036</v>
      </c>
      <c r="Q326" s="10">
        <v>12846</v>
      </c>
      <c r="R326" s="11">
        <f>P326-Q326</f>
        <v>2190</v>
      </c>
      <c r="S326" s="12">
        <f>R326/P326</f>
        <v>0.14565043894652832</v>
      </c>
      <c r="T326" s="3">
        <v>14</v>
      </c>
      <c r="U326" s="3">
        <v>15</v>
      </c>
      <c r="V326" s="3" t="str">
        <f>IF(U326&lt;=T326+1,"On-Time","Late")</f>
        <v>On-Time</v>
      </c>
      <c r="W326" s="3" t="s">
        <v>79</v>
      </c>
      <c r="X326" s="3" t="s">
        <v>80</v>
      </c>
      <c r="Y326" s="3" t="s">
        <v>137</v>
      </c>
    </row>
    <row r="327" spans="1:25">
      <c r="A327" s="3" t="s">
        <v>472</v>
      </c>
      <c r="B327" s="8">
        <v>46094</v>
      </c>
      <c r="C327" s="8">
        <v>46102</v>
      </c>
      <c r="D327" s="8">
        <v>46104</v>
      </c>
      <c r="E327" s="3" t="s">
        <v>103</v>
      </c>
      <c r="F327" s="3" t="s">
        <v>149</v>
      </c>
      <c r="G327" s="3" t="s">
        <v>104</v>
      </c>
      <c r="H327" s="3" t="s">
        <v>105</v>
      </c>
      <c r="I327" s="3" t="s">
        <v>106</v>
      </c>
      <c r="J327" s="3" t="s">
        <v>107</v>
      </c>
      <c r="K327" s="3" t="s">
        <v>123</v>
      </c>
      <c r="L327" s="3" t="s">
        <v>124</v>
      </c>
      <c r="M327" s="3" t="s">
        <v>110</v>
      </c>
      <c r="N327" s="3">
        <v>4.3</v>
      </c>
      <c r="O327" s="9">
        <v>4300</v>
      </c>
      <c r="P327" s="10">
        <v>15699</v>
      </c>
      <c r="Q327" s="10">
        <v>12574</v>
      </c>
      <c r="R327" s="11">
        <f>P327-Q327</f>
        <v>3125</v>
      </c>
      <c r="S327" s="12">
        <f>R327/P327</f>
        <v>0.19905726479393593</v>
      </c>
      <c r="T327" s="3">
        <v>2</v>
      </c>
      <c r="U327" s="3">
        <v>2</v>
      </c>
      <c r="V327" s="3" t="str">
        <f>IF(U327&lt;=T327+1,"On-Time","Late")</f>
        <v>On-Time</v>
      </c>
      <c r="W327" s="3" t="s">
        <v>79</v>
      </c>
      <c r="X327" s="3" t="s">
        <v>80</v>
      </c>
      <c r="Y327" s="3" t="s">
        <v>94</v>
      </c>
    </row>
    <row r="328" spans="1:25">
      <c r="A328" s="3" t="s">
        <v>473</v>
      </c>
      <c r="B328" s="8">
        <v>46078</v>
      </c>
      <c r="C328" s="8">
        <v>46090</v>
      </c>
      <c r="D328" s="8">
        <v>46108</v>
      </c>
      <c r="E328" s="3" t="s">
        <v>83</v>
      </c>
      <c r="F328" s="3" t="s">
        <v>96</v>
      </c>
      <c r="G328" s="3" t="s">
        <v>85</v>
      </c>
      <c r="H328" s="3" t="s">
        <v>86</v>
      </c>
      <c r="I328" s="3" t="s">
        <v>87</v>
      </c>
      <c r="J328" s="3" t="s">
        <v>88</v>
      </c>
      <c r="K328" s="3" t="s">
        <v>89</v>
      </c>
      <c r="L328" s="3" t="s">
        <v>90</v>
      </c>
      <c r="M328" s="3" t="s">
        <v>147</v>
      </c>
      <c r="N328" s="3">
        <v>4</v>
      </c>
      <c r="O328" s="9">
        <v>68332</v>
      </c>
      <c r="P328" s="10">
        <v>12716</v>
      </c>
      <c r="Q328" s="10">
        <v>10831</v>
      </c>
      <c r="R328" s="11">
        <f>P328-Q328</f>
        <v>1885</v>
      </c>
      <c r="S328" s="12">
        <f>R328/P328</f>
        <v>0.14823843976093112</v>
      </c>
      <c r="T328" s="3">
        <v>18</v>
      </c>
      <c r="U328" s="3">
        <v>18</v>
      </c>
      <c r="V328" s="3" t="str">
        <f>IF(U328&lt;=T328+1,"On-Time","Late")</f>
        <v>On-Time</v>
      </c>
      <c r="W328" s="3" t="s">
        <v>79</v>
      </c>
      <c r="X328" s="3" t="s">
        <v>80</v>
      </c>
      <c r="Y328" s="3" t="s">
        <v>94</v>
      </c>
    </row>
    <row r="329" spans="1:25">
      <c r="A329" s="3" t="s">
        <v>474</v>
      </c>
      <c r="B329" s="8">
        <v>46065</v>
      </c>
      <c r="C329" s="8">
        <v>46079</v>
      </c>
      <c r="D329" s="8">
        <v>46093</v>
      </c>
      <c r="E329" s="3" t="s">
        <v>83</v>
      </c>
      <c r="F329" s="3" t="s">
        <v>84</v>
      </c>
      <c r="G329" s="3" t="s">
        <v>98</v>
      </c>
      <c r="H329" s="3" t="s">
        <v>99</v>
      </c>
      <c r="I329" s="3" t="s">
        <v>100</v>
      </c>
      <c r="J329" s="3" t="s">
        <v>101</v>
      </c>
      <c r="K329" s="3" t="s">
        <v>76</v>
      </c>
      <c r="L329" s="3" t="s">
        <v>77</v>
      </c>
      <c r="M329" s="3" t="s">
        <v>167</v>
      </c>
      <c r="N329" s="3">
        <v>3</v>
      </c>
      <c r="O329" s="9">
        <v>41820</v>
      </c>
      <c r="P329" s="10">
        <v>8313</v>
      </c>
      <c r="Q329" s="10">
        <v>6849</v>
      </c>
      <c r="R329" s="11">
        <f>P329-Q329</f>
        <v>1464</v>
      </c>
      <c r="S329" s="12">
        <f>R329/P329</f>
        <v>0.17610970768675568</v>
      </c>
      <c r="T329" s="3">
        <v>14</v>
      </c>
      <c r="U329" s="3">
        <v>14</v>
      </c>
      <c r="V329" s="3" t="str">
        <f>IF(U329&lt;=T329+1,"On-Time","Late")</f>
        <v>On-Time</v>
      </c>
      <c r="W329" s="3" t="s">
        <v>79</v>
      </c>
      <c r="X329" s="3" t="s">
        <v>80</v>
      </c>
      <c r="Y329" s="3" t="s">
        <v>92</v>
      </c>
    </row>
    <row r="330" spans="1:25">
      <c r="A330" s="3" t="s">
        <v>475</v>
      </c>
      <c r="B330" s="8">
        <v>46066</v>
      </c>
      <c r="C330" s="8">
        <v>46077</v>
      </c>
      <c r="D330" s="8">
        <v>46079</v>
      </c>
      <c r="E330" s="3" t="s">
        <v>103</v>
      </c>
      <c r="F330" s="3" t="s">
        <v>71</v>
      </c>
      <c r="G330" s="3" t="s">
        <v>104</v>
      </c>
      <c r="H330" s="3" t="s">
        <v>105</v>
      </c>
      <c r="I330" s="3" t="s">
        <v>106</v>
      </c>
      <c r="J330" s="3" t="s">
        <v>107</v>
      </c>
      <c r="K330" s="3" t="s">
        <v>113</v>
      </c>
      <c r="L330" s="3" t="s">
        <v>114</v>
      </c>
      <c r="M330" s="3" t="s">
        <v>110</v>
      </c>
      <c r="N330" s="3">
        <v>5.2</v>
      </c>
      <c r="O330" s="9">
        <v>5200</v>
      </c>
      <c r="P330" s="10">
        <v>22859</v>
      </c>
      <c r="Q330" s="10">
        <v>18235</v>
      </c>
      <c r="R330" s="11">
        <f>P330-Q330</f>
        <v>4624</v>
      </c>
      <c r="S330" s="12">
        <f>R330/P330</f>
        <v>0.20228356446038759</v>
      </c>
      <c r="T330" s="3">
        <v>2</v>
      </c>
      <c r="U330" s="3">
        <v>2</v>
      </c>
      <c r="V330" s="3" t="str">
        <f>IF(U330&lt;=T330+1,"On-Time","Late")</f>
        <v>On-Time</v>
      </c>
      <c r="W330" s="3" t="s">
        <v>79</v>
      </c>
      <c r="X330" s="3" t="s">
        <v>116</v>
      </c>
      <c r="Y330" s="3" t="s">
        <v>81</v>
      </c>
    </row>
    <row r="331" spans="1:25">
      <c r="A331" s="3" t="s">
        <v>476</v>
      </c>
      <c r="B331" s="8">
        <v>46106</v>
      </c>
      <c r="C331" s="8">
        <v>46112</v>
      </c>
      <c r="D331" s="8">
        <v>46127</v>
      </c>
      <c r="E331" s="3" t="s">
        <v>83</v>
      </c>
      <c r="F331" s="3" t="s">
        <v>96</v>
      </c>
      <c r="G331" s="3" t="s">
        <v>98</v>
      </c>
      <c r="H331" s="3" t="s">
        <v>99</v>
      </c>
      <c r="I331" s="3" t="s">
        <v>100</v>
      </c>
      <c r="J331" s="3" t="s">
        <v>101</v>
      </c>
      <c r="K331" s="3" t="s">
        <v>165</v>
      </c>
      <c r="L331" s="3" t="s">
        <v>166</v>
      </c>
      <c r="M331" s="3" t="s">
        <v>147</v>
      </c>
      <c r="N331" s="3">
        <v>6</v>
      </c>
      <c r="O331" s="9">
        <v>64278</v>
      </c>
      <c r="P331" s="10">
        <v>17658</v>
      </c>
      <c r="Q331" s="10">
        <v>14591</v>
      </c>
      <c r="R331" s="11">
        <f>P331-Q331</f>
        <v>3067</v>
      </c>
      <c r="S331" s="12">
        <f>R331/P331</f>
        <v>0.17368897949937706</v>
      </c>
      <c r="T331" s="3">
        <v>14</v>
      </c>
      <c r="U331" s="3">
        <v>15</v>
      </c>
      <c r="V331" s="3" t="str">
        <f>IF(U331&lt;=T331+1,"On-Time","Late")</f>
        <v>On-Time</v>
      </c>
      <c r="W331" s="3" t="s">
        <v>79</v>
      </c>
      <c r="X331" s="3" t="s">
        <v>111</v>
      </c>
      <c r="Y331" s="3" t="s">
        <v>137</v>
      </c>
    </row>
    <row r="332" spans="1:25">
      <c r="A332" s="3" t="s">
        <v>477</v>
      </c>
      <c r="B332" s="8">
        <v>46025</v>
      </c>
      <c r="C332" s="8">
        <v>46032</v>
      </c>
      <c r="D332" s="8">
        <v>46048</v>
      </c>
      <c r="E332" s="3" t="s">
        <v>83</v>
      </c>
      <c r="F332" s="3" t="s">
        <v>96</v>
      </c>
      <c r="G332" s="3" t="s">
        <v>163</v>
      </c>
      <c r="H332" s="3" t="s">
        <v>99</v>
      </c>
      <c r="I332" s="3" t="s">
        <v>164</v>
      </c>
      <c r="J332" s="3" t="s">
        <v>101</v>
      </c>
      <c r="K332" s="3" t="s">
        <v>76</v>
      </c>
      <c r="L332" s="3" t="s">
        <v>77</v>
      </c>
      <c r="M332" s="3" t="s">
        <v>130</v>
      </c>
      <c r="N332" s="3">
        <v>2</v>
      </c>
      <c r="O332" s="9">
        <v>28356</v>
      </c>
      <c r="P332" s="10">
        <v>4846</v>
      </c>
      <c r="Q332" s="10">
        <v>4128</v>
      </c>
      <c r="R332" s="11">
        <f>P332-Q332</f>
        <v>718</v>
      </c>
      <c r="S332" s="12">
        <f>R332/P332</f>
        <v>0.1481634337598019</v>
      </c>
      <c r="T332" s="3">
        <v>15</v>
      </c>
      <c r="U332" s="3">
        <v>16</v>
      </c>
      <c r="V332" s="3" t="str">
        <f>IF(U332&lt;=T332+1,"On-Time","Late")</f>
        <v>On-Time</v>
      </c>
      <c r="W332" s="3" t="s">
        <v>79</v>
      </c>
      <c r="X332" s="3" t="s">
        <v>80</v>
      </c>
      <c r="Y332" s="3" t="s">
        <v>94</v>
      </c>
    </row>
    <row r="333" spans="1:25">
      <c r="A333" s="3" t="s">
        <v>478</v>
      </c>
      <c r="B333" s="8">
        <v>46134</v>
      </c>
      <c r="C333" s="8">
        <v>46140</v>
      </c>
      <c r="D333" s="8">
        <v>46158</v>
      </c>
      <c r="E333" s="3" t="s">
        <v>83</v>
      </c>
      <c r="F333" s="3" t="s">
        <v>96</v>
      </c>
      <c r="G333" s="3" t="s">
        <v>140</v>
      </c>
      <c r="H333" s="3" t="s">
        <v>86</v>
      </c>
      <c r="I333" s="3" t="s">
        <v>141</v>
      </c>
      <c r="J333" s="3" t="s">
        <v>88</v>
      </c>
      <c r="K333" s="3" t="s">
        <v>89</v>
      </c>
      <c r="L333" s="3" t="s">
        <v>90</v>
      </c>
      <c r="M333" s="3" t="s">
        <v>91</v>
      </c>
      <c r="N333" s="3">
        <v>2</v>
      </c>
      <c r="O333" s="9">
        <v>30886</v>
      </c>
      <c r="P333" s="10">
        <v>5676</v>
      </c>
      <c r="Q333" s="10">
        <v>4658</v>
      </c>
      <c r="R333" s="11">
        <f>P333-Q333</f>
        <v>1018</v>
      </c>
      <c r="S333" s="12">
        <f>R333/P333</f>
        <v>0.17935165609584214</v>
      </c>
      <c r="T333" s="3">
        <v>18</v>
      </c>
      <c r="U333" s="3">
        <v>18</v>
      </c>
      <c r="V333" s="3" t="str">
        <f>IF(U333&lt;=T333+1,"On-Time","Late")</f>
        <v>On-Time</v>
      </c>
      <c r="W333" s="3" t="s">
        <v>79</v>
      </c>
      <c r="X333" s="3" t="s">
        <v>80</v>
      </c>
      <c r="Y333" s="3" t="s">
        <v>117</v>
      </c>
    </row>
    <row r="334" spans="1:25">
      <c r="A334" s="3" t="s">
        <v>479</v>
      </c>
      <c r="B334" s="8">
        <v>46031</v>
      </c>
      <c r="C334" s="8">
        <v>46037</v>
      </c>
      <c r="D334" s="8">
        <v>46051</v>
      </c>
      <c r="E334" s="3" t="s">
        <v>83</v>
      </c>
      <c r="F334" s="3" t="s">
        <v>96</v>
      </c>
      <c r="G334" s="3" t="s">
        <v>98</v>
      </c>
      <c r="H334" s="3" t="s">
        <v>99</v>
      </c>
      <c r="I334" s="3" t="s">
        <v>100</v>
      </c>
      <c r="J334" s="3" t="s">
        <v>101</v>
      </c>
      <c r="K334" s="3" t="s">
        <v>165</v>
      </c>
      <c r="L334" s="3" t="s">
        <v>166</v>
      </c>
      <c r="M334" s="3" t="s">
        <v>136</v>
      </c>
      <c r="N334" s="3">
        <v>6</v>
      </c>
      <c r="O334" s="9">
        <v>119418</v>
      </c>
      <c r="P334" s="10">
        <v>18600</v>
      </c>
      <c r="Q334" s="10">
        <v>15316</v>
      </c>
      <c r="R334" s="11">
        <f>P334-Q334</f>
        <v>3284</v>
      </c>
      <c r="S334" s="12">
        <f>R334/P334</f>
        <v>0.17655913978494622</v>
      </c>
      <c r="T334" s="3">
        <v>14</v>
      </c>
      <c r="U334" s="3">
        <v>14</v>
      </c>
      <c r="V334" s="3" t="str">
        <f>IF(U334&lt;=T334+1,"On-Time","Late")</f>
        <v>On-Time</v>
      </c>
      <c r="W334" s="3" t="s">
        <v>79</v>
      </c>
      <c r="X334" s="3" t="s">
        <v>111</v>
      </c>
      <c r="Y334" s="3" t="s">
        <v>81</v>
      </c>
    </row>
    <row r="335" spans="1:25">
      <c r="A335" s="3" t="s">
        <v>480</v>
      </c>
      <c r="B335" s="8">
        <v>46100</v>
      </c>
      <c r="C335" s="8">
        <v>46105</v>
      </c>
      <c r="D335" s="8">
        <v>46119</v>
      </c>
      <c r="E335" s="3" t="s">
        <v>83</v>
      </c>
      <c r="F335" s="3" t="s">
        <v>84</v>
      </c>
      <c r="G335" s="3" t="s">
        <v>98</v>
      </c>
      <c r="H335" s="3" t="s">
        <v>99</v>
      </c>
      <c r="I335" s="3" t="s">
        <v>100</v>
      </c>
      <c r="J335" s="3" t="s">
        <v>101</v>
      </c>
      <c r="K335" s="3" t="s">
        <v>165</v>
      </c>
      <c r="L335" s="3" t="s">
        <v>166</v>
      </c>
      <c r="M335" s="3" t="s">
        <v>147</v>
      </c>
      <c r="N335" s="3">
        <v>6</v>
      </c>
      <c r="O335" s="9">
        <v>89724</v>
      </c>
      <c r="P335" s="10">
        <v>15024</v>
      </c>
      <c r="Q335" s="10">
        <v>12783</v>
      </c>
      <c r="R335" s="11">
        <f>P335-Q335</f>
        <v>2241</v>
      </c>
      <c r="S335" s="12">
        <f>R335/P335</f>
        <v>0.14916134185303515</v>
      </c>
      <c r="T335" s="3">
        <v>14</v>
      </c>
      <c r="U335" s="3">
        <v>14</v>
      </c>
      <c r="V335" s="3" t="str">
        <f>IF(U335&lt;=T335+1,"On-Time","Late")</f>
        <v>On-Time</v>
      </c>
      <c r="W335" s="3" t="s">
        <v>79</v>
      </c>
      <c r="X335" s="3" t="s">
        <v>111</v>
      </c>
      <c r="Y335" s="3" t="s">
        <v>137</v>
      </c>
    </row>
    <row r="336" spans="1:25">
      <c r="A336" s="3" t="s">
        <v>481</v>
      </c>
      <c r="B336" s="8">
        <v>46062</v>
      </c>
      <c r="C336" s="8">
        <v>46070</v>
      </c>
      <c r="D336" s="8">
        <v>46073</v>
      </c>
      <c r="E336" s="3" t="s">
        <v>70</v>
      </c>
      <c r="F336" s="3" t="s">
        <v>96</v>
      </c>
      <c r="G336" s="3" t="s">
        <v>72</v>
      </c>
      <c r="H336" s="3" t="s">
        <v>73</v>
      </c>
      <c r="I336" s="3" t="s">
        <v>74</v>
      </c>
      <c r="J336" s="3" t="s">
        <v>75</v>
      </c>
      <c r="K336" s="3" t="s">
        <v>76</v>
      </c>
      <c r="L336" s="3" t="s">
        <v>77</v>
      </c>
      <c r="M336" s="3" t="s">
        <v>78</v>
      </c>
      <c r="N336" s="3">
        <v>6.1</v>
      </c>
      <c r="O336" s="9">
        <v>6100</v>
      </c>
      <c r="P336" s="10">
        <v>1027</v>
      </c>
      <c r="Q336" s="10">
        <v>785</v>
      </c>
      <c r="R336" s="11">
        <f>P336-Q336</f>
        <v>242</v>
      </c>
      <c r="S336" s="12">
        <f>R336/P336</f>
        <v>0.23563777994157742</v>
      </c>
      <c r="T336" s="3">
        <v>2</v>
      </c>
      <c r="U336" s="3">
        <v>3</v>
      </c>
      <c r="V336" s="3" t="str">
        <f>IF(U336&lt;=T336+1,"On-Time","Late")</f>
        <v>On-Time</v>
      </c>
      <c r="W336" s="3" t="s">
        <v>79</v>
      </c>
      <c r="X336" s="3" t="s">
        <v>80</v>
      </c>
      <c r="Y336" s="3" t="s">
        <v>117</v>
      </c>
    </row>
    <row r="337" spans="1:25">
      <c r="A337" s="3" t="s">
        <v>482</v>
      </c>
      <c r="B337" s="8">
        <v>46164</v>
      </c>
      <c r="C337" s="8">
        <v>46171</v>
      </c>
      <c r="D337" s="8">
        <v>46191</v>
      </c>
      <c r="E337" s="3" t="s">
        <v>83</v>
      </c>
      <c r="F337" s="3" t="s">
        <v>96</v>
      </c>
      <c r="G337" s="3" t="s">
        <v>126</v>
      </c>
      <c r="H337" s="3" t="s">
        <v>86</v>
      </c>
      <c r="I337" s="3" t="s">
        <v>127</v>
      </c>
      <c r="J337" s="3" t="s">
        <v>88</v>
      </c>
      <c r="K337" s="3" t="s">
        <v>160</v>
      </c>
      <c r="L337" s="3" t="s">
        <v>161</v>
      </c>
      <c r="M337" s="3" t="s">
        <v>167</v>
      </c>
      <c r="N337" s="3">
        <v>2</v>
      </c>
      <c r="O337" s="9">
        <v>18712</v>
      </c>
      <c r="P337" s="10">
        <v>5886</v>
      </c>
      <c r="Q337" s="10">
        <v>4730</v>
      </c>
      <c r="R337" s="11">
        <f>P337-Q337</f>
        <v>1156</v>
      </c>
      <c r="S337" s="12">
        <f>R337/P337</f>
        <v>0.1963982330954808</v>
      </c>
      <c r="T337" s="3">
        <v>19</v>
      </c>
      <c r="U337" s="3">
        <v>20</v>
      </c>
      <c r="V337" s="3" t="str">
        <f>IF(U337&lt;=T337+1,"On-Time","Late")</f>
        <v>On-Time</v>
      </c>
      <c r="W337" s="3" t="s">
        <v>79</v>
      </c>
      <c r="X337" s="3" t="s">
        <v>116</v>
      </c>
      <c r="Y337" s="3" t="s">
        <v>137</v>
      </c>
    </row>
    <row r="338" spans="1:25">
      <c r="A338" s="3" t="s">
        <v>483</v>
      </c>
      <c r="B338" s="8">
        <v>46104</v>
      </c>
      <c r="C338" s="8">
        <v>46117</v>
      </c>
      <c r="D338" s="8">
        <v>46119</v>
      </c>
      <c r="E338" s="3" t="s">
        <v>103</v>
      </c>
      <c r="F338" s="3" t="s">
        <v>71</v>
      </c>
      <c r="G338" s="3" t="s">
        <v>104</v>
      </c>
      <c r="H338" s="3" t="s">
        <v>105</v>
      </c>
      <c r="I338" s="3" t="s">
        <v>106</v>
      </c>
      <c r="J338" s="3" t="s">
        <v>107</v>
      </c>
      <c r="K338" s="3" t="s">
        <v>123</v>
      </c>
      <c r="L338" s="3" t="s">
        <v>124</v>
      </c>
      <c r="M338" s="3" t="s">
        <v>143</v>
      </c>
      <c r="N338" s="3">
        <v>5.5</v>
      </c>
      <c r="O338" s="9">
        <v>5500</v>
      </c>
      <c r="P338" s="10">
        <v>27923</v>
      </c>
      <c r="Q338" s="10">
        <v>22076</v>
      </c>
      <c r="R338" s="11">
        <f>P338-Q338</f>
        <v>5847</v>
      </c>
      <c r="S338" s="12">
        <f>R338/P338</f>
        <v>0.20939727106686246</v>
      </c>
      <c r="T338" s="3">
        <v>2</v>
      </c>
      <c r="U338" s="3">
        <v>2</v>
      </c>
      <c r="V338" s="3" t="str">
        <f>IF(U338&lt;=T338+1,"On-Time","Late")</f>
        <v>On-Time</v>
      </c>
      <c r="W338" s="3" t="s">
        <v>79</v>
      </c>
      <c r="X338" s="3" t="s">
        <v>80</v>
      </c>
      <c r="Y338" s="3" t="s">
        <v>117</v>
      </c>
    </row>
    <row r="339" spans="1:25">
      <c r="A339" s="3" t="s">
        <v>484</v>
      </c>
      <c r="B339" s="8">
        <v>46151</v>
      </c>
      <c r="C339" s="8">
        <v>46160</v>
      </c>
      <c r="D339" s="8">
        <v>46163</v>
      </c>
      <c r="E339" s="3" t="s">
        <v>103</v>
      </c>
      <c r="F339" s="3" t="s">
        <v>96</v>
      </c>
      <c r="G339" s="3" t="s">
        <v>104</v>
      </c>
      <c r="H339" s="3" t="s">
        <v>105</v>
      </c>
      <c r="I339" s="3" t="s">
        <v>106</v>
      </c>
      <c r="J339" s="3" t="s">
        <v>107</v>
      </c>
      <c r="K339" s="3" t="s">
        <v>123</v>
      </c>
      <c r="L339" s="3" t="s">
        <v>124</v>
      </c>
      <c r="M339" s="3" t="s">
        <v>110</v>
      </c>
      <c r="N339" s="3">
        <v>0.7</v>
      </c>
      <c r="O339" s="9">
        <v>700</v>
      </c>
      <c r="P339" s="10">
        <v>2736</v>
      </c>
      <c r="Q339" s="10">
        <v>2160</v>
      </c>
      <c r="R339" s="11">
        <f>P339-Q339</f>
        <v>576</v>
      </c>
      <c r="S339" s="12">
        <f>R339/P339</f>
        <v>0.21052631578947367</v>
      </c>
      <c r="T339" s="3">
        <v>2</v>
      </c>
      <c r="U339" s="3">
        <v>3</v>
      </c>
      <c r="V339" s="3" t="str">
        <f>IF(U339&lt;=T339+1,"On-Time","Late")</f>
        <v>On-Time</v>
      </c>
      <c r="W339" s="3" t="s">
        <v>79</v>
      </c>
      <c r="X339" s="3" t="s">
        <v>80</v>
      </c>
      <c r="Y339" s="3" t="s">
        <v>81</v>
      </c>
    </row>
    <row r="340" spans="1:25">
      <c r="A340" s="3" t="s">
        <v>485</v>
      </c>
      <c r="B340" s="8">
        <v>46147</v>
      </c>
      <c r="C340" s="8">
        <v>46156</v>
      </c>
      <c r="D340" s="8">
        <v>46159</v>
      </c>
      <c r="E340" s="3" t="s">
        <v>103</v>
      </c>
      <c r="F340" s="3" t="s">
        <v>96</v>
      </c>
      <c r="G340" s="3" t="s">
        <v>132</v>
      </c>
      <c r="H340" s="3" t="s">
        <v>105</v>
      </c>
      <c r="I340" s="3" t="s">
        <v>133</v>
      </c>
      <c r="J340" s="3" t="s">
        <v>107</v>
      </c>
      <c r="K340" s="3" t="s">
        <v>113</v>
      </c>
      <c r="L340" s="3" t="s">
        <v>114</v>
      </c>
      <c r="M340" s="3" t="s">
        <v>143</v>
      </c>
      <c r="N340" s="3">
        <v>3</v>
      </c>
      <c r="O340" s="9">
        <v>3000</v>
      </c>
      <c r="P340" s="10">
        <v>15669</v>
      </c>
      <c r="Q340" s="10">
        <v>12609</v>
      </c>
      <c r="R340" s="11">
        <f>P340-Q340</f>
        <v>3060</v>
      </c>
      <c r="S340" s="12">
        <f>R340/P340</f>
        <v>0.19529006318207925</v>
      </c>
      <c r="T340" s="3">
        <v>2</v>
      </c>
      <c r="U340" s="3">
        <v>3</v>
      </c>
      <c r="V340" s="3" t="str">
        <f>IF(U340&lt;=T340+1,"On-Time","Late")</f>
        <v>On-Time</v>
      </c>
      <c r="W340" s="3" t="s">
        <v>79</v>
      </c>
      <c r="X340" s="3" t="s">
        <v>116</v>
      </c>
      <c r="Y340" s="3" t="s">
        <v>92</v>
      </c>
    </row>
    <row r="341" spans="1:25">
      <c r="A341" s="3" t="s">
        <v>486</v>
      </c>
      <c r="B341" s="8">
        <v>46119</v>
      </c>
      <c r="C341" s="8">
        <v>46124</v>
      </c>
      <c r="D341" s="8">
        <v>46127</v>
      </c>
      <c r="E341" s="3" t="s">
        <v>103</v>
      </c>
      <c r="F341" s="3" t="s">
        <v>96</v>
      </c>
      <c r="G341" s="3" t="s">
        <v>104</v>
      </c>
      <c r="H341" s="3" t="s">
        <v>105</v>
      </c>
      <c r="I341" s="3" t="s">
        <v>106</v>
      </c>
      <c r="J341" s="3" t="s">
        <v>107</v>
      </c>
      <c r="K341" s="3" t="s">
        <v>113</v>
      </c>
      <c r="L341" s="3" t="s">
        <v>114</v>
      </c>
      <c r="M341" s="3" t="s">
        <v>115</v>
      </c>
      <c r="N341" s="3">
        <v>5.2</v>
      </c>
      <c r="O341" s="9">
        <v>5200</v>
      </c>
      <c r="P341" s="10">
        <v>25922</v>
      </c>
      <c r="Q341" s="10">
        <v>20030</v>
      </c>
      <c r="R341" s="11">
        <f>P341-Q341</f>
        <v>5892</v>
      </c>
      <c r="S341" s="12">
        <f>R341/P341</f>
        <v>0.22729727644471878</v>
      </c>
      <c r="T341" s="3">
        <v>2</v>
      </c>
      <c r="U341" s="3">
        <v>3</v>
      </c>
      <c r="V341" s="3" t="str">
        <f>IF(U341&lt;=T341+1,"On-Time","Late")</f>
        <v>On-Time</v>
      </c>
      <c r="W341" s="3" t="s">
        <v>79</v>
      </c>
      <c r="X341" s="3" t="s">
        <v>116</v>
      </c>
      <c r="Y341" s="3" t="s">
        <v>137</v>
      </c>
    </row>
    <row r="342" spans="1:25">
      <c r="A342" s="3" t="s">
        <v>487</v>
      </c>
      <c r="B342" s="8">
        <v>46129</v>
      </c>
      <c r="C342" s="8">
        <v>46134</v>
      </c>
      <c r="D342" s="8">
        <v>46136</v>
      </c>
      <c r="E342" s="3" t="s">
        <v>103</v>
      </c>
      <c r="F342" s="3" t="s">
        <v>96</v>
      </c>
      <c r="G342" s="3" t="s">
        <v>104</v>
      </c>
      <c r="H342" s="3" t="s">
        <v>105</v>
      </c>
      <c r="I342" s="3" t="s">
        <v>106</v>
      </c>
      <c r="J342" s="3" t="s">
        <v>107</v>
      </c>
      <c r="K342" s="3" t="s">
        <v>108</v>
      </c>
      <c r="L342" s="3" t="s">
        <v>109</v>
      </c>
      <c r="M342" s="3" t="s">
        <v>143</v>
      </c>
      <c r="N342" s="3">
        <v>5.0999999999999996</v>
      </c>
      <c r="O342" s="9">
        <v>5100</v>
      </c>
      <c r="P342" s="10">
        <v>25398</v>
      </c>
      <c r="Q342" s="10">
        <v>20434</v>
      </c>
      <c r="R342" s="11">
        <f>P342-Q342</f>
        <v>4964</v>
      </c>
      <c r="S342" s="12">
        <f>R342/P342</f>
        <v>0.19544846050870146</v>
      </c>
      <c r="T342" s="3">
        <v>2</v>
      </c>
      <c r="U342" s="3">
        <v>2</v>
      </c>
      <c r="V342" s="3" t="str">
        <f>IF(U342&lt;=T342+1,"On-Time","Late")</f>
        <v>On-Time</v>
      </c>
      <c r="W342" s="3" t="s">
        <v>79</v>
      </c>
      <c r="X342" s="3" t="s">
        <v>111</v>
      </c>
      <c r="Y342" s="3" t="s">
        <v>117</v>
      </c>
    </row>
    <row r="343" spans="1:25">
      <c r="A343" s="3" t="s">
        <v>488</v>
      </c>
      <c r="B343" s="8">
        <v>46051</v>
      </c>
      <c r="C343" s="8">
        <v>46057</v>
      </c>
      <c r="D343" s="8">
        <v>46071</v>
      </c>
      <c r="E343" s="3" t="s">
        <v>83</v>
      </c>
      <c r="F343" s="3" t="s">
        <v>84</v>
      </c>
      <c r="G343" s="3" t="s">
        <v>98</v>
      </c>
      <c r="H343" s="3" t="s">
        <v>99</v>
      </c>
      <c r="I343" s="3" t="s">
        <v>100</v>
      </c>
      <c r="J343" s="3" t="s">
        <v>101</v>
      </c>
      <c r="K343" s="3" t="s">
        <v>165</v>
      </c>
      <c r="L343" s="3" t="s">
        <v>166</v>
      </c>
      <c r="M343" s="3" t="s">
        <v>130</v>
      </c>
      <c r="N343" s="3">
        <v>1</v>
      </c>
      <c r="O343" s="9">
        <v>20480</v>
      </c>
      <c r="P343" s="10">
        <v>2329</v>
      </c>
      <c r="Q343" s="10">
        <v>1890</v>
      </c>
      <c r="R343" s="11">
        <f>P343-Q343</f>
        <v>439</v>
      </c>
      <c r="S343" s="12">
        <f>R343/P343</f>
        <v>0.18849291541434091</v>
      </c>
      <c r="T343" s="3">
        <v>14</v>
      </c>
      <c r="U343" s="3">
        <v>14</v>
      </c>
      <c r="V343" s="3" t="str">
        <f>IF(U343&lt;=T343+1,"On-Time","Late")</f>
        <v>On-Time</v>
      </c>
      <c r="W343" s="3" t="s">
        <v>79</v>
      </c>
      <c r="X343" s="3" t="s">
        <v>111</v>
      </c>
      <c r="Y343" s="3" t="s">
        <v>81</v>
      </c>
    </row>
    <row r="344" spans="1:25">
      <c r="A344" s="3" t="s">
        <v>489</v>
      </c>
      <c r="B344" s="8">
        <v>46115</v>
      </c>
      <c r="C344" s="8">
        <v>46126</v>
      </c>
      <c r="D344" s="8">
        <v>46132</v>
      </c>
      <c r="E344" s="3" t="s">
        <v>103</v>
      </c>
      <c r="F344" s="3" t="s">
        <v>96</v>
      </c>
      <c r="G344" s="3" t="s">
        <v>85</v>
      </c>
      <c r="H344" s="3" t="s">
        <v>119</v>
      </c>
      <c r="I344" s="3" t="s">
        <v>120</v>
      </c>
      <c r="J344" s="3" t="s">
        <v>121</v>
      </c>
      <c r="K344" s="3" t="s">
        <v>108</v>
      </c>
      <c r="L344" s="3" t="s">
        <v>109</v>
      </c>
      <c r="M344" s="3" t="s">
        <v>110</v>
      </c>
      <c r="N344" s="3">
        <v>1.8</v>
      </c>
      <c r="O344" s="9">
        <v>1800</v>
      </c>
      <c r="P344" s="10">
        <v>7446</v>
      </c>
      <c r="Q344" s="10">
        <v>5870</v>
      </c>
      <c r="R344" s="11">
        <f>P344-Q344</f>
        <v>1576</v>
      </c>
      <c r="S344" s="12">
        <f>R344/P344</f>
        <v>0.21165726564598442</v>
      </c>
      <c r="T344" s="3">
        <v>3</v>
      </c>
      <c r="U344" s="3">
        <v>6</v>
      </c>
      <c r="V344" s="3" t="str">
        <f>IF(U344&lt;=T344+1,"On-Time","Late")</f>
        <v>Late</v>
      </c>
      <c r="W344" s="3" t="s">
        <v>79</v>
      </c>
      <c r="X344" s="3" t="s">
        <v>111</v>
      </c>
      <c r="Y344" s="3" t="s">
        <v>94</v>
      </c>
    </row>
    <row r="345" spans="1:25">
      <c r="A345" s="3" t="s">
        <v>490</v>
      </c>
      <c r="B345" s="8">
        <v>46053</v>
      </c>
      <c r="C345" s="8">
        <v>46064</v>
      </c>
      <c r="D345" s="8">
        <v>46067</v>
      </c>
      <c r="E345" s="3" t="s">
        <v>70</v>
      </c>
      <c r="F345" s="3" t="s">
        <v>96</v>
      </c>
      <c r="G345" s="3" t="s">
        <v>72</v>
      </c>
      <c r="H345" s="3" t="s">
        <v>73</v>
      </c>
      <c r="I345" s="3" t="s">
        <v>74</v>
      </c>
      <c r="J345" s="3" t="s">
        <v>75</v>
      </c>
      <c r="K345" s="3" t="s">
        <v>76</v>
      </c>
      <c r="L345" s="3" t="s">
        <v>77</v>
      </c>
      <c r="M345" s="3" t="s">
        <v>78</v>
      </c>
      <c r="N345" s="3">
        <v>4.4000000000000004</v>
      </c>
      <c r="O345" s="9">
        <v>4400</v>
      </c>
      <c r="P345" s="10">
        <v>2532</v>
      </c>
      <c r="Q345" s="10">
        <v>1910</v>
      </c>
      <c r="R345" s="11">
        <f>P345-Q345</f>
        <v>622</v>
      </c>
      <c r="S345" s="12">
        <f>R345/P345</f>
        <v>0.24565560821484991</v>
      </c>
      <c r="T345" s="3">
        <v>2</v>
      </c>
      <c r="U345" s="3">
        <v>3</v>
      </c>
      <c r="V345" s="3" t="str">
        <f>IF(U345&lt;=T345+1,"On-Time","Late")</f>
        <v>On-Time</v>
      </c>
      <c r="W345" s="3" t="s">
        <v>79</v>
      </c>
      <c r="X345" s="3" t="s">
        <v>80</v>
      </c>
      <c r="Y345" s="3" t="s">
        <v>137</v>
      </c>
    </row>
    <row r="346" spans="1:25">
      <c r="A346" s="3" t="s">
        <v>491</v>
      </c>
      <c r="B346" s="8">
        <v>46046</v>
      </c>
      <c r="C346" s="8">
        <v>46053</v>
      </c>
      <c r="D346" s="8">
        <v>46072</v>
      </c>
      <c r="E346" s="3" t="s">
        <v>83</v>
      </c>
      <c r="F346" s="3" t="s">
        <v>84</v>
      </c>
      <c r="G346" s="3" t="s">
        <v>140</v>
      </c>
      <c r="H346" s="3" t="s">
        <v>86</v>
      </c>
      <c r="I346" s="3" t="s">
        <v>141</v>
      </c>
      <c r="J346" s="3" t="s">
        <v>88</v>
      </c>
      <c r="K346" s="3" t="s">
        <v>156</v>
      </c>
      <c r="L346" s="3" t="s">
        <v>157</v>
      </c>
      <c r="M346" s="3" t="s">
        <v>167</v>
      </c>
      <c r="N346" s="3">
        <v>1</v>
      </c>
      <c r="O346" s="9">
        <v>17779</v>
      </c>
      <c r="P346" s="10">
        <v>2396</v>
      </c>
      <c r="Q346" s="10">
        <v>1960</v>
      </c>
      <c r="R346" s="11">
        <f>P346-Q346</f>
        <v>436</v>
      </c>
      <c r="S346" s="12">
        <f>R346/P346</f>
        <v>0.18196994991652754</v>
      </c>
      <c r="T346" s="3">
        <v>18</v>
      </c>
      <c r="U346" s="3">
        <v>19</v>
      </c>
      <c r="V346" s="3" t="str">
        <f>IF(U346&lt;=T346+1,"On-Time","Late")</f>
        <v>On-Time</v>
      </c>
      <c r="W346" s="3" t="s">
        <v>79</v>
      </c>
      <c r="X346" s="3" t="s">
        <v>111</v>
      </c>
      <c r="Y346" s="3" t="s">
        <v>92</v>
      </c>
    </row>
    <row r="347" spans="1:25">
      <c r="A347" s="3" t="s">
        <v>492</v>
      </c>
      <c r="B347" s="8">
        <v>46032</v>
      </c>
      <c r="C347" s="8">
        <v>46041</v>
      </c>
      <c r="D347" s="8">
        <v>46056</v>
      </c>
      <c r="E347" s="3" t="s">
        <v>83</v>
      </c>
      <c r="F347" s="3" t="s">
        <v>96</v>
      </c>
      <c r="G347" s="3" t="s">
        <v>163</v>
      </c>
      <c r="H347" s="3" t="s">
        <v>99</v>
      </c>
      <c r="I347" s="3" t="s">
        <v>164</v>
      </c>
      <c r="J347" s="3" t="s">
        <v>101</v>
      </c>
      <c r="K347" s="3" t="s">
        <v>165</v>
      </c>
      <c r="L347" s="3" t="s">
        <v>166</v>
      </c>
      <c r="M347" s="3" t="s">
        <v>136</v>
      </c>
      <c r="N347" s="3">
        <v>2</v>
      </c>
      <c r="O347" s="9">
        <v>38444</v>
      </c>
      <c r="P347" s="10">
        <v>6296</v>
      </c>
      <c r="Q347" s="10">
        <v>5249</v>
      </c>
      <c r="R347" s="11">
        <f>P347-Q347</f>
        <v>1047</v>
      </c>
      <c r="S347" s="12">
        <f>R347/P347</f>
        <v>0.16629606099110547</v>
      </c>
      <c r="T347" s="3">
        <v>15</v>
      </c>
      <c r="U347" s="3">
        <v>15</v>
      </c>
      <c r="V347" s="3" t="str">
        <f>IF(U347&lt;=T347+1,"On-Time","Late")</f>
        <v>On-Time</v>
      </c>
      <c r="W347" s="3" t="s">
        <v>79</v>
      </c>
      <c r="X347" s="3" t="s">
        <v>111</v>
      </c>
      <c r="Y347" s="3" t="s">
        <v>92</v>
      </c>
    </row>
    <row r="348" spans="1:25">
      <c r="A348" s="3" t="s">
        <v>493</v>
      </c>
      <c r="B348" s="8">
        <v>46068</v>
      </c>
      <c r="C348" s="8">
        <v>46082</v>
      </c>
      <c r="D348" s="8">
        <v>46096</v>
      </c>
      <c r="E348" s="3" t="s">
        <v>83</v>
      </c>
      <c r="F348" s="3" t="s">
        <v>84</v>
      </c>
      <c r="G348" s="3" t="s">
        <v>98</v>
      </c>
      <c r="H348" s="3" t="s">
        <v>99</v>
      </c>
      <c r="I348" s="3" t="s">
        <v>100</v>
      </c>
      <c r="J348" s="3" t="s">
        <v>101</v>
      </c>
      <c r="K348" s="3" t="s">
        <v>76</v>
      </c>
      <c r="L348" s="3" t="s">
        <v>77</v>
      </c>
      <c r="M348" s="3" t="s">
        <v>91</v>
      </c>
      <c r="N348" s="3">
        <v>1</v>
      </c>
      <c r="O348" s="9">
        <v>20630</v>
      </c>
      <c r="P348" s="10">
        <v>2361</v>
      </c>
      <c r="Q348" s="10">
        <v>1934</v>
      </c>
      <c r="R348" s="11">
        <f>P348-Q348</f>
        <v>427</v>
      </c>
      <c r="S348" s="12">
        <f>R348/P348</f>
        <v>0.18085556967386701</v>
      </c>
      <c r="T348" s="3">
        <v>14</v>
      </c>
      <c r="U348" s="3">
        <v>14</v>
      </c>
      <c r="V348" s="3" t="str">
        <f>IF(U348&lt;=T348+1,"On-Time","Late")</f>
        <v>On-Time</v>
      </c>
      <c r="W348" s="3" t="s">
        <v>79</v>
      </c>
      <c r="X348" s="3" t="s">
        <v>80</v>
      </c>
      <c r="Y348" s="3" t="s">
        <v>94</v>
      </c>
    </row>
    <row r="349" spans="1:25">
      <c r="A349" s="3" t="s">
        <v>494</v>
      </c>
      <c r="B349" s="8">
        <v>46092</v>
      </c>
      <c r="C349" s="8">
        <v>46106</v>
      </c>
      <c r="D349" s="8">
        <v>46125</v>
      </c>
      <c r="E349" s="3" t="s">
        <v>83</v>
      </c>
      <c r="F349" s="3" t="s">
        <v>96</v>
      </c>
      <c r="G349" s="3" t="s">
        <v>140</v>
      </c>
      <c r="H349" s="3" t="s">
        <v>86</v>
      </c>
      <c r="I349" s="3" t="s">
        <v>141</v>
      </c>
      <c r="J349" s="3" t="s">
        <v>88</v>
      </c>
      <c r="K349" s="3" t="s">
        <v>152</v>
      </c>
      <c r="L349" s="3" t="s">
        <v>153</v>
      </c>
      <c r="M349" s="3" t="s">
        <v>147</v>
      </c>
      <c r="N349" s="3">
        <v>1</v>
      </c>
      <c r="O349" s="9">
        <v>12667</v>
      </c>
      <c r="P349" s="10">
        <v>2616</v>
      </c>
      <c r="Q349" s="10">
        <v>2105</v>
      </c>
      <c r="R349" s="11">
        <f>P349-Q349</f>
        <v>511</v>
      </c>
      <c r="S349" s="12">
        <f>R349/P349</f>
        <v>0.19533639143730888</v>
      </c>
      <c r="T349" s="3">
        <v>18</v>
      </c>
      <c r="U349" s="3">
        <v>19</v>
      </c>
      <c r="V349" s="3" t="str">
        <f>IF(U349&lt;=T349+1,"On-Time","Late")</f>
        <v>On-Time</v>
      </c>
      <c r="W349" s="3" t="s">
        <v>79</v>
      </c>
      <c r="X349" s="3" t="s">
        <v>111</v>
      </c>
      <c r="Y349" s="3" t="s">
        <v>81</v>
      </c>
    </row>
    <row r="350" spans="1:25">
      <c r="A350" s="3" t="s">
        <v>495</v>
      </c>
      <c r="B350" s="8">
        <v>46023</v>
      </c>
      <c r="C350" s="8">
        <v>46037</v>
      </c>
      <c r="D350" s="8">
        <v>46039</v>
      </c>
      <c r="E350" s="3" t="s">
        <v>103</v>
      </c>
      <c r="F350" s="3" t="s">
        <v>149</v>
      </c>
      <c r="G350" s="3" t="s">
        <v>104</v>
      </c>
      <c r="H350" s="3" t="s">
        <v>105</v>
      </c>
      <c r="I350" s="3" t="s">
        <v>106</v>
      </c>
      <c r="J350" s="3" t="s">
        <v>107</v>
      </c>
      <c r="K350" s="3" t="s">
        <v>108</v>
      </c>
      <c r="L350" s="3" t="s">
        <v>109</v>
      </c>
      <c r="M350" s="3" t="s">
        <v>143</v>
      </c>
      <c r="N350" s="3">
        <v>1.3</v>
      </c>
      <c r="O350" s="9">
        <v>1300</v>
      </c>
      <c r="P350" s="10">
        <v>6466</v>
      </c>
      <c r="Q350" s="10">
        <v>5015</v>
      </c>
      <c r="R350" s="11">
        <f>P350-Q350</f>
        <v>1451</v>
      </c>
      <c r="S350" s="12">
        <f>R350/P350</f>
        <v>0.2244045777915249</v>
      </c>
      <c r="T350" s="3">
        <v>2</v>
      </c>
      <c r="U350" s="3">
        <v>2</v>
      </c>
      <c r="V350" s="3" t="str">
        <f>IF(U350&lt;=T350+1,"On-Time","Late")</f>
        <v>On-Time</v>
      </c>
      <c r="W350" s="3" t="s">
        <v>79</v>
      </c>
      <c r="X350" s="3" t="s">
        <v>111</v>
      </c>
      <c r="Y350" s="3" t="s">
        <v>81</v>
      </c>
    </row>
    <row r="351" spans="1:25">
      <c r="A351" s="3" t="s">
        <v>496</v>
      </c>
      <c r="B351" s="8">
        <v>46020</v>
      </c>
      <c r="C351" s="8">
        <v>46031</v>
      </c>
      <c r="D351" s="8">
        <v>46051</v>
      </c>
      <c r="E351" s="3" t="s">
        <v>83</v>
      </c>
      <c r="F351" s="3" t="s">
        <v>84</v>
      </c>
      <c r="G351" s="3" t="s">
        <v>126</v>
      </c>
      <c r="H351" s="3" t="s">
        <v>86</v>
      </c>
      <c r="I351" s="3" t="s">
        <v>127</v>
      </c>
      <c r="J351" s="3" t="s">
        <v>88</v>
      </c>
      <c r="K351" s="3" t="s">
        <v>156</v>
      </c>
      <c r="L351" s="3" t="s">
        <v>157</v>
      </c>
      <c r="M351" s="3" t="s">
        <v>91</v>
      </c>
      <c r="N351" s="3">
        <v>1</v>
      </c>
      <c r="O351" s="9">
        <v>11472</v>
      </c>
      <c r="P351" s="10">
        <v>2384</v>
      </c>
      <c r="Q351" s="10">
        <v>1928</v>
      </c>
      <c r="R351" s="11">
        <f>P351-Q351</f>
        <v>456</v>
      </c>
      <c r="S351" s="12">
        <f>R351/P351</f>
        <v>0.1912751677852349</v>
      </c>
      <c r="T351" s="3">
        <v>19</v>
      </c>
      <c r="U351" s="3">
        <v>20</v>
      </c>
      <c r="V351" s="3" t="str">
        <f>IF(U351&lt;=T351+1,"On-Time","Late")</f>
        <v>On-Time</v>
      </c>
      <c r="W351" s="3" t="s">
        <v>79</v>
      </c>
      <c r="X351" s="3" t="s">
        <v>111</v>
      </c>
      <c r="Y351" s="3" t="s">
        <v>92</v>
      </c>
    </row>
    <row r="352" spans="1:25">
      <c r="A352" s="3" t="s">
        <v>497</v>
      </c>
      <c r="B352" s="8">
        <v>46164</v>
      </c>
      <c r="C352" s="8">
        <v>46169</v>
      </c>
      <c r="D352" s="8">
        <v>46187</v>
      </c>
      <c r="E352" s="3" t="s">
        <v>83</v>
      </c>
      <c r="F352" s="3" t="s">
        <v>84</v>
      </c>
      <c r="G352" s="3" t="s">
        <v>140</v>
      </c>
      <c r="H352" s="3" t="s">
        <v>86</v>
      </c>
      <c r="I352" s="3" t="s">
        <v>141</v>
      </c>
      <c r="J352" s="3" t="s">
        <v>88</v>
      </c>
      <c r="K352" s="3" t="s">
        <v>89</v>
      </c>
      <c r="L352" s="3" t="s">
        <v>90</v>
      </c>
      <c r="M352" s="3" t="s">
        <v>130</v>
      </c>
      <c r="N352" s="3">
        <v>2</v>
      </c>
      <c r="O352" s="9">
        <v>24234</v>
      </c>
      <c r="P352" s="10">
        <v>5660</v>
      </c>
      <c r="Q352" s="10">
        <v>4805</v>
      </c>
      <c r="R352" s="11">
        <f>P352-Q352</f>
        <v>855</v>
      </c>
      <c r="S352" s="12">
        <f>R352/P352</f>
        <v>0.15106007067137808</v>
      </c>
      <c r="T352" s="3">
        <v>18</v>
      </c>
      <c r="U352" s="3">
        <v>18</v>
      </c>
      <c r="V352" s="3" t="str">
        <f>IF(U352&lt;=T352+1,"On-Time","Late")</f>
        <v>On-Time</v>
      </c>
      <c r="W352" s="3" t="s">
        <v>196</v>
      </c>
      <c r="X352" s="3" t="s">
        <v>80</v>
      </c>
      <c r="Y352" s="3" t="s">
        <v>94</v>
      </c>
    </row>
    <row r="353" spans="1:25">
      <c r="A353" s="3" t="s">
        <v>498</v>
      </c>
      <c r="B353" s="8">
        <v>46031</v>
      </c>
      <c r="C353" s="8">
        <v>46039</v>
      </c>
      <c r="D353" s="8">
        <v>46042</v>
      </c>
      <c r="E353" s="3" t="s">
        <v>103</v>
      </c>
      <c r="F353" s="3" t="s">
        <v>149</v>
      </c>
      <c r="G353" s="3" t="s">
        <v>104</v>
      </c>
      <c r="H353" s="3" t="s">
        <v>105</v>
      </c>
      <c r="I353" s="3" t="s">
        <v>106</v>
      </c>
      <c r="J353" s="3" t="s">
        <v>107</v>
      </c>
      <c r="K353" s="3" t="s">
        <v>113</v>
      </c>
      <c r="L353" s="3" t="s">
        <v>114</v>
      </c>
      <c r="M353" s="3" t="s">
        <v>110</v>
      </c>
      <c r="N353" s="3">
        <v>2.2999999999999998</v>
      </c>
      <c r="O353" s="9">
        <v>2300</v>
      </c>
      <c r="P353" s="10">
        <v>8721</v>
      </c>
      <c r="Q353" s="10">
        <v>6965</v>
      </c>
      <c r="R353" s="11">
        <f>P353-Q353</f>
        <v>1756</v>
      </c>
      <c r="S353" s="12">
        <f>R353/P353</f>
        <v>0.20135305584221994</v>
      </c>
      <c r="T353" s="3">
        <v>2</v>
      </c>
      <c r="U353" s="3">
        <v>3</v>
      </c>
      <c r="V353" s="3" t="str">
        <f>IF(U353&lt;=T353+1,"On-Time","Late")</f>
        <v>On-Time</v>
      </c>
      <c r="W353" s="3" t="s">
        <v>79</v>
      </c>
      <c r="X353" s="3" t="s">
        <v>116</v>
      </c>
      <c r="Y353" s="3" t="s">
        <v>81</v>
      </c>
    </row>
    <row r="354" spans="1:25">
      <c r="A354" s="3" t="s">
        <v>499</v>
      </c>
      <c r="B354" s="8">
        <v>46058</v>
      </c>
      <c r="C354" s="8">
        <v>46069</v>
      </c>
      <c r="D354" s="8">
        <v>46072</v>
      </c>
      <c r="E354" s="3" t="s">
        <v>103</v>
      </c>
      <c r="F354" s="3" t="s">
        <v>71</v>
      </c>
      <c r="G354" s="3" t="s">
        <v>150</v>
      </c>
      <c r="H354" s="3" t="s">
        <v>119</v>
      </c>
      <c r="I354" s="3" t="s">
        <v>151</v>
      </c>
      <c r="J354" s="3" t="s">
        <v>121</v>
      </c>
      <c r="K354" s="3" t="s">
        <v>160</v>
      </c>
      <c r="L354" s="3" t="s">
        <v>161</v>
      </c>
      <c r="M354" s="3" t="s">
        <v>110</v>
      </c>
      <c r="N354" s="3">
        <v>3.8</v>
      </c>
      <c r="O354" s="9">
        <v>3800</v>
      </c>
      <c r="P354" s="10">
        <v>15329</v>
      </c>
      <c r="Q354" s="10">
        <v>12199</v>
      </c>
      <c r="R354" s="11">
        <f>P354-Q354</f>
        <v>3130</v>
      </c>
      <c r="S354" s="12">
        <f>R354/P354</f>
        <v>0.2041881401265575</v>
      </c>
      <c r="T354" s="3">
        <v>3</v>
      </c>
      <c r="U354" s="3">
        <v>3</v>
      </c>
      <c r="V354" s="3" t="str">
        <f>IF(U354&lt;=T354+1,"On-Time","Late")</f>
        <v>On-Time</v>
      </c>
      <c r="W354" s="3" t="s">
        <v>79</v>
      </c>
      <c r="X354" s="3" t="s">
        <v>116</v>
      </c>
      <c r="Y354" s="3" t="s">
        <v>81</v>
      </c>
    </row>
    <row r="355" spans="1:25">
      <c r="A355" s="3" t="s">
        <v>500</v>
      </c>
      <c r="B355" s="8">
        <v>46096</v>
      </c>
      <c r="C355" s="8">
        <v>46108</v>
      </c>
      <c r="D355" s="8">
        <v>46123</v>
      </c>
      <c r="E355" s="3" t="s">
        <v>83</v>
      </c>
      <c r="F355" s="3" t="s">
        <v>84</v>
      </c>
      <c r="G355" s="3" t="s">
        <v>163</v>
      </c>
      <c r="H355" s="3" t="s">
        <v>99</v>
      </c>
      <c r="I355" s="3" t="s">
        <v>164</v>
      </c>
      <c r="J355" s="3" t="s">
        <v>101</v>
      </c>
      <c r="K355" s="3" t="s">
        <v>76</v>
      </c>
      <c r="L355" s="3" t="s">
        <v>77</v>
      </c>
      <c r="M355" s="3" t="s">
        <v>91</v>
      </c>
      <c r="N355" s="3">
        <v>1</v>
      </c>
      <c r="O355" s="9">
        <v>9142</v>
      </c>
      <c r="P355" s="10">
        <v>3121</v>
      </c>
      <c r="Q355" s="10">
        <v>2673</v>
      </c>
      <c r="R355" s="11">
        <f>P355-Q355</f>
        <v>448</v>
      </c>
      <c r="S355" s="12">
        <f>R355/P355</f>
        <v>0.14354373598205702</v>
      </c>
      <c r="T355" s="3">
        <v>15</v>
      </c>
      <c r="U355" s="3">
        <v>15</v>
      </c>
      <c r="V355" s="3" t="str">
        <f>IF(U355&lt;=T355+1,"On-Time","Late")</f>
        <v>On-Time</v>
      </c>
      <c r="W355" s="3" t="s">
        <v>79</v>
      </c>
      <c r="X355" s="3" t="s">
        <v>80</v>
      </c>
      <c r="Y355" s="3" t="s">
        <v>92</v>
      </c>
    </row>
    <row r="356" spans="1:25">
      <c r="A356" s="3" t="s">
        <v>501</v>
      </c>
      <c r="B356" s="8">
        <v>46037</v>
      </c>
      <c r="C356" s="8">
        <v>46045</v>
      </c>
      <c r="D356" s="8">
        <v>46048</v>
      </c>
      <c r="E356" s="3" t="s">
        <v>103</v>
      </c>
      <c r="F356" s="3" t="s">
        <v>149</v>
      </c>
      <c r="G356" s="3" t="s">
        <v>104</v>
      </c>
      <c r="H356" s="3" t="s">
        <v>105</v>
      </c>
      <c r="I356" s="3" t="s">
        <v>106</v>
      </c>
      <c r="J356" s="3" t="s">
        <v>107</v>
      </c>
      <c r="K356" s="3" t="s">
        <v>113</v>
      </c>
      <c r="L356" s="3" t="s">
        <v>114</v>
      </c>
      <c r="M356" s="3" t="s">
        <v>143</v>
      </c>
      <c r="N356" s="3">
        <v>4.9000000000000004</v>
      </c>
      <c r="O356" s="9">
        <v>4900</v>
      </c>
      <c r="P356" s="10">
        <v>23422</v>
      </c>
      <c r="Q356" s="10">
        <v>18738</v>
      </c>
      <c r="R356" s="11">
        <f>P356-Q356</f>
        <v>4684</v>
      </c>
      <c r="S356" s="12">
        <f>R356/P356</f>
        <v>0.19998292203910853</v>
      </c>
      <c r="T356" s="3">
        <v>2</v>
      </c>
      <c r="U356" s="3">
        <v>3</v>
      </c>
      <c r="V356" s="3" t="str">
        <f>IF(U356&lt;=T356+1,"On-Time","Late")</f>
        <v>On-Time</v>
      </c>
      <c r="W356" s="3" t="s">
        <v>79</v>
      </c>
      <c r="X356" s="3" t="s">
        <v>116</v>
      </c>
      <c r="Y356" s="3" t="s">
        <v>81</v>
      </c>
    </row>
    <row r="357" spans="1:25">
      <c r="A357" s="3" t="s">
        <v>502</v>
      </c>
      <c r="B357" s="8">
        <v>46065</v>
      </c>
      <c r="C357" s="8">
        <v>46074</v>
      </c>
      <c r="D357" s="8">
        <v>46093</v>
      </c>
      <c r="E357" s="3" t="s">
        <v>83</v>
      </c>
      <c r="F357" s="3" t="s">
        <v>96</v>
      </c>
      <c r="G357" s="3" t="s">
        <v>85</v>
      </c>
      <c r="H357" s="3" t="s">
        <v>86</v>
      </c>
      <c r="I357" s="3" t="s">
        <v>87</v>
      </c>
      <c r="J357" s="3" t="s">
        <v>88</v>
      </c>
      <c r="K357" s="3" t="s">
        <v>156</v>
      </c>
      <c r="L357" s="3" t="s">
        <v>157</v>
      </c>
      <c r="M357" s="3" t="s">
        <v>147</v>
      </c>
      <c r="N357" s="3">
        <v>2</v>
      </c>
      <c r="O357" s="9">
        <v>33536</v>
      </c>
      <c r="P357" s="10">
        <v>4850</v>
      </c>
      <c r="Q357" s="10">
        <v>4085</v>
      </c>
      <c r="R357" s="11">
        <f>P357-Q357</f>
        <v>765</v>
      </c>
      <c r="S357" s="12">
        <f>R357/P357</f>
        <v>0.15773195876288659</v>
      </c>
      <c r="T357" s="3">
        <v>18</v>
      </c>
      <c r="U357" s="3">
        <v>19</v>
      </c>
      <c r="V357" s="3" t="str">
        <f>IF(U357&lt;=T357+1,"On-Time","Late")</f>
        <v>On-Time</v>
      </c>
      <c r="W357" s="3" t="s">
        <v>79</v>
      </c>
      <c r="X357" s="3" t="s">
        <v>111</v>
      </c>
      <c r="Y357" s="3" t="s">
        <v>137</v>
      </c>
    </row>
    <row r="358" spans="1:25">
      <c r="A358" s="3" t="s">
        <v>503</v>
      </c>
      <c r="B358" s="8">
        <v>46139</v>
      </c>
      <c r="C358" s="8">
        <v>46149</v>
      </c>
      <c r="D358" s="8">
        <v>46153</v>
      </c>
      <c r="E358" s="3" t="s">
        <v>103</v>
      </c>
      <c r="F358" s="3" t="s">
        <v>71</v>
      </c>
      <c r="G358" s="3" t="s">
        <v>150</v>
      </c>
      <c r="H358" s="3" t="s">
        <v>119</v>
      </c>
      <c r="I358" s="3" t="s">
        <v>151</v>
      </c>
      <c r="J358" s="3" t="s">
        <v>121</v>
      </c>
      <c r="K358" s="3" t="s">
        <v>152</v>
      </c>
      <c r="L358" s="3" t="s">
        <v>153</v>
      </c>
      <c r="M358" s="3" t="s">
        <v>143</v>
      </c>
      <c r="N358" s="3">
        <v>0.7</v>
      </c>
      <c r="O358" s="9">
        <v>700</v>
      </c>
      <c r="P358" s="10">
        <v>2796</v>
      </c>
      <c r="Q358" s="10">
        <v>2204</v>
      </c>
      <c r="R358" s="11">
        <f>P358-Q358</f>
        <v>592</v>
      </c>
      <c r="S358" s="12">
        <f>R358/P358</f>
        <v>0.21173104434907011</v>
      </c>
      <c r="T358" s="3">
        <v>3</v>
      </c>
      <c r="U358" s="3">
        <v>4</v>
      </c>
      <c r="V358" s="3" t="str">
        <f>IF(U358&lt;=T358+1,"On-Time","Late")</f>
        <v>On-Time</v>
      </c>
      <c r="W358" s="3" t="s">
        <v>79</v>
      </c>
      <c r="X358" s="3" t="s">
        <v>111</v>
      </c>
      <c r="Y358" s="3" t="s">
        <v>92</v>
      </c>
    </row>
    <row r="359" spans="1:25">
      <c r="A359" s="3" t="s">
        <v>504</v>
      </c>
      <c r="B359" s="8">
        <v>46168</v>
      </c>
      <c r="C359" s="8">
        <v>46175</v>
      </c>
      <c r="D359" s="8">
        <v>46191</v>
      </c>
      <c r="E359" s="3" t="s">
        <v>83</v>
      </c>
      <c r="F359" s="3" t="s">
        <v>96</v>
      </c>
      <c r="G359" s="3" t="s">
        <v>163</v>
      </c>
      <c r="H359" s="3" t="s">
        <v>99</v>
      </c>
      <c r="I359" s="3" t="s">
        <v>164</v>
      </c>
      <c r="J359" s="3" t="s">
        <v>101</v>
      </c>
      <c r="K359" s="3" t="s">
        <v>76</v>
      </c>
      <c r="L359" s="3" t="s">
        <v>77</v>
      </c>
      <c r="M359" s="3" t="s">
        <v>147</v>
      </c>
      <c r="N359" s="3">
        <v>2</v>
      </c>
      <c r="O359" s="9">
        <v>24826</v>
      </c>
      <c r="P359" s="10">
        <v>5812</v>
      </c>
      <c r="Q359" s="10">
        <v>4784</v>
      </c>
      <c r="R359" s="11">
        <f>P359-Q359</f>
        <v>1028</v>
      </c>
      <c r="S359" s="12">
        <f>R359/P359</f>
        <v>0.17687543014452856</v>
      </c>
      <c r="T359" s="3">
        <v>15</v>
      </c>
      <c r="U359" s="3">
        <v>16</v>
      </c>
      <c r="V359" s="3" t="str">
        <f>IF(U359&lt;=T359+1,"On-Time","Late")</f>
        <v>On-Time</v>
      </c>
      <c r="W359" s="3" t="s">
        <v>196</v>
      </c>
      <c r="X359" s="3" t="s">
        <v>80</v>
      </c>
      <c r="Y359" s="3" t="s">
        <v>81</v>
      </c>
    </row>
    <row r="360" spans="1:25">
      <c r="A360" s="3" t="s">
        <v>505</v>
      </c>
      <c r="B360" s="8">
        <v>46090</v>
      </c>
      <c r="C360" s="8">
        <v>46095</v>
      </c>
      <c r="D360" s="8">
        <v>46109</v>
      </c>
      <c r="E360" s="3" t="s">
        <v>83</v>
      </c>
      <c r="F360" s="3" t="s">
        <v>96</v>
      </c>
      <c r="G360" s="3" t="s">
        <v>98</v>
      </c>
      <c r="H360" s="3" t="s">
        <v>99</v>
      </c>
      <c r="I360" s="3" t="s">
        <v>100</v>
      </c>
      <c r="J360" s="3" t="s">
        <v>101</v>
      </c>
      <c r="K360" s="3" t="s">
        <v>165</v>
      </c>
      <c r="L360" s="3" t="s">
        <v>166</v>
      </c>
      <c r="M360" s="3" t="s">
        <v>130</v>
      </c>
      <c r="N360" s="3">
        <v>6</v>
      </c>
      <c r="O360" s="9">
        <v>59304</v>
      </c>
      <c r="P360" s="10">
        <v>13824</v>
      </c>
      <c r="Q360" s="10">
        <v>11437</v>
      </c>
      <c r="R360" s="11">
        <f>P360-Q360</f>
        <v>2387</v>
      </c>
      <c r="S360" s="12">
        <f>R360/P360</f>
        <v>0.17267071759259259</v>
      </c>
      <c r="T360" s="3">
        <v>14</v>
      </c>
      <c r="U360" s="3">
        <v>14</v>
      </c>
      <c r="V360" s="3" t="str">
        <f>IF(U360&lt;=T360+1,"On-Time","Late")</f>
        <v>On-Time</v>
      </c>
      <c r="W360" s="3" t="s">
        <v>79</v>
      </c>
      <c r="X360" s="3" t="s">
        <v>111</v>
      </c>
      <c r="Y360" s="3" t="s">
        <v>92</v>
      </c>
    </row>
    <row r="361" spans="1:25">
      <c r="A361" s="3" t="s">
        <v>506</v>
      </c>
      <c r="B361" s="8">
        <v>46118</v>
      </c>
      <c r="C361" s="8">
        <v>46129</v>
      </c>
      <c r="D361" s="8">
        <v>46131</v>
      </c>
      <c r="E361" s="3" t="s">
        <v>103</v>
      </c>
      <c r="F361" s="3" t="s">
        <v>96</v>
      </c>
      <c r="G361" s="3" t="s">
        <v>104</v>
      </c>
      <c r="H361" s="3" t="s">
        <v>105</v>
      </c>
      <c r="I361" s="3" t="s">
        <v>106</v>
      </c>
      <c r="J361" s="3" t="s">
        <v>107</v>
      </c>
      <c r="K361" s="3" t="s">
        <v>113</v>
      </c>
      <c r="L361" s="3" t="s">
        <v>114</v>
      </c>
      <c r="M361" s="3" t="s">
        <v>110</v>
      </c>
      <c r="N361" s="3">
        <v>5.3</v>
      </c>
      <c r="O361" s="9">
        <v>5300</v>
      </c>
      <c r="P361" s="10">
        <v>24358</v>
      </c>
      <c r="Q361" s="10">
        <v>19146</v>
      </c>
      <c r="R361" s="11">
        <f>P361-Q361</f>
        <v>5212</v>
      </c>
      <c r="S361" s="12">
        <f>R361/P361</f>
        <v>0.21397487478446506</v>
      </c>
      <c r="T361" s="3">
        <v>2</v>
      </c>
      <c r="U361" s="3">
        <v>2</v>
      </c>
      <c r="V361" s="3" t="str">
        <f>IF(U361&lt;=T361+1,"On-Time","Late")</f>
        <v>On-Time</v>
      </c>
      <c r="W361" s="3" t="s">
        <v>79</v>
      </c>
      <c r="X361" s="3" t="s">
        <v>116</v>
      </c>
      <c r="Y361" s="3" t="s">
        <v>92</v>
      </c>
    </row>
    <row r="362" spans="1:25">
      <c r="A362" s="3" t="s">
        <v>507</v>
      </c>
      <c r="B362" s="8">
        <v>46146</v>
      </c>
      <c r="C362" s="8">
        <v>46154</v>
      </c>
      <c r="D362" s="8">
        <v>46173</v>
      </c>
      <c r="E362" s="3" t="s">
        <v>83</v>
      </c>
      <c r="F362" s="3" t="s">
        <v>84</v>
      </c>
      <c r="G362" s="3" t="s">
        <v>163</v>
      </c>
      <c r="H362" s="3" t="s">
        <v>99</v>
      </c>
      <c r="I362" s="3" t="s">
        <v>164</v>
      </c>
      <c r="J362" s="3" t="s">
        <v>101</v>
      </c>
      <c r="K362" s="3" t="s">
        <v>165</v>
      </c>
      <c r="L362" s="3" t="s">
        <v>166</v>
      </c>
      <c r="M362" s="3" t="s">
        <v>130</v>
      </c>
      <c r="N362" s="3">
        <v>2</v>
      </c>
      <c r="O362" s="9">
        <v>33888</v>
      </c>
      <c r="P362" s="10">
        <v>5476</v>
      </c>
      <c r="Q362" s="10">
        <v>4606</v>
      </c>
      <c r="R362" s="11">
        <f>P362-Q362</f>
        <v>870</v>
      </c>
      <c r="S362" s="12">
        <f>R362/P362</f>
        <v>0.15887509130752375</v>
      </c>
      <c r="T362" s="3">
        <v>15</v>
      </c>
      <c r="U362" s="3">
        <v>19</v>
      </c>
      <c r="V362" s="3" t="str">
        <f>IF(U362&lt;=T362+1,"On-Time","Late")</f>
        <v>Late</v>
      </c>
      <c r="W362" s="3" t="s">
        <v>79</v>
      </c>
      <c r="X362" s="3" t="s">
        <v>111</v>
      </c>
      <c r="Y362" s="3" t="s">
        <v>94</v>
      </c>
    </row>
    <row r="363" spans="1:25">
      <c r="A363" s="3" t="s">
        <v>508</v>
      </c>
      <c r="B363" s="8">
        <v>46145</v>
      </c>
      <c r="C363" s="8">
        <v>46156</v>
      </c>
      <c r="D363" s="8">
        <v>46175</v>
      </c>
      <c r="E363" s="3" t="s">
        <v>83</v>
      </c>
      <c r="F363" s="3" t="s">
        <v>96</v>
      </c>
      <c r="G363" s="3" t="s">
        <v>163</v>
      </c>
      <c r="H363" s="3" t="s">
        <v>99</v>
      </c>
      <c r="I363" s="3" t="s">
        <v>164</v>
      </c>
      <c r="J363" s="3" t="s">
        <v>101</v>
      </c>
      <c r="K363" s="3" t="s">
        <v>76</v>
      </c>
      <c r="L363" s="3" t="s">
        <v>77</v>
      </c>
      <c r="M363" s="3" t="s">
        <v>130</v>
      </c>
      <c r="N363" s="3">
        <v>4</v>
      </c>
      <c r="O363" s="9">
        <v>48920</v>
      </c>
      <c r="P363" s="10">
        <v>10800</v>
      </c>
      <c r="Q363" s="10">
        <v>9141</v>
      </c>
      <c r="R363" s="11">
        <f>P363-Q363</f>
        <v>1659</v>
      </c>
      <c r="S363" s="12">
        <f>R363/P363</f>
        <v>0.15361111111111111</v>
      </c>
      <c r="T363" s="3">
        <v>15</v>
      </c>
      <c r="U363" s="3">
        <v>19</v>
      </c>
      <c r="V363" s="3" t="str">
        <f>IF(U363&lt;=T363+1,"On-Time","Late")</f>
        <v>Late</v>
      </c>
      <c r="W363" s="3" t="s">
        <v>79</v>
      </c>
      <c r="X363" s="3" t="s">
        <v>80</v>
      </c>
      <c r="Y363" s="3" t="s">
        <v>137</v>
      </c>
    </row>
    <row r="364" spans="1:25">
      <c r="A364" s="3" t="s">
        <v>509</v>
      </c>
      <c r="B364" s="8">
        <v>46105</v>
      </c>
      <c r="C364" s="8">
        <v>46114</v>
      </c>
      <c r="D364" s="8">
        <v>46116</v>
      </c>
      <c r="E364" s="3" t="s">
        <v>103</v>
      </c>
      <c r="F364" s="3" t="s">
        <v>96</v>
      </c>
      <c r="G364" s="3" t="s">
        <v>132</v>
      </c>
      <c r="H364" s="3" t="s">
        <v>105</v>
      </c>
      <c r="I364" s="3" t="s">
        <v>133</v>
      </c>
      <c r="J364" s="3" t="s">
        <v>107</v>
      </c>
      <c r="K364" s="3" t="s">
        <v>113</v>
      </c>
      <c r="L364" s="3" t="s">
        <v>114</v>
      </c>
      <c r="M364" s="3" t="s">
        <v>143</v>
      </c>
      <c r="N364" s="3">
        <v>0.9</v>
      </c>
      <c r="O364" s="9">
        <v>900</v>
      </c>
      <c r="P364" s="10">
        <v>3592</v>
      </c>
      <c r="Q364" s="10">
        <v>2830</v>
      </c>
      <c r="R364" s="11">
        <f>P364-Q364</f>
        <v>762</v>
      </c>
      <c r="S364" s="12">
        <f>R364/P364</f>
        <v>0.21213808463251671</v>
      </c>
      <c r="T364" s="3">
        <v>2</v>
      </c>
      <c r="U364" s="3">
        <v>2</v>
      </c>
      <c r="V364" s="3" t="str">
        <f>IF(U364&lt;=T364+1,"On-Time","Late")</f>
        <v>On-Time</v>
      </c>
      <c r="W364" s="3" t="s">
        <v>79</v>
      </c>
      <c r="X364" s="3" t="s">
        <v>116</v>
      </c>
      <c r="Y364" s="3" t="s">
        <v>81</v>
      </c>
    </row>
    <row r="365" spans="1:25">
      <c r="A365" s="3" t="s">
        <v>510</v>
      </c>
      <c r="B365" s="8">
        <v>46059</v>
      </c>
      <c r="C365" s="8">
        <v>46070</v>
      </c>
      <c r="D365" s="8">
        <v>46073</v>
      </c>
      <c r="E365" s="3" t="s">
        <v>103</v>
      </c>
      <c r="F365" s="3" t="s">
        <v>71</v>
      </c>
      <c r="G365" s="3" t="s">
        <v>150</v>
      </c>
      <c r="H365" s="3" t="s">
        <v>119</v>
      </c>
      <c r="I365" s="3" t="s">
        <v>151</v>
      </c>
      <c r="J365" s="3" t="s">
        <v>121</v>
      </c>
      <c r="K365" s="3" t="s">
        <v>152</v>
      </c>
      <c r="L365" s="3" t="s">
        <v>153</v>
      </c>
      <c r="M365" s="3" t="s">
        <v>115</v>
      </c>
      <c r="N365" s="3">
        <v>0.8</v>
      </c>
      <c r="O365" s="9">
        <v>800</v>
      </c>
      <c r="P365" s="10">
        <v>3336</v>
      </c>
      <c r="Q365" s="10">
        <v>2636</v>
      </c>
      <c r="R365" s="11">
        <f>P365-Q365</f>
        <v>700</v>
      </c>
      <c r="S365" s="12">
        <f>R365/P365</f>
        <v>0.20983213429256595</v>
      </c>
      <c r="T365" s="3">
        <v>3</v>
      </c>
      <c r="U365" s="3">
        <v>3</v>
      </c>
      <c r="V365" s="3" t="str">
        <f>IF(U365&lt;=T365+1,"On-Time","Late")</f>
        <v>On-Time</v>
      </c>
      <c r="W365" s="3" t="s">
        <v>79</v>
      </c>
      <c r="X365" s="3" t="s">
        <v>111</v>
      </c>
      <c r="Y365" s="3" t="s">
        <v>81</v>
      </c>
    </row>
    <row r="366" spans="1:25">
      <c r="A366" s="3" t="s">
        <v>511</v>
      </c>
      <c r="B366" s="8">
        <v>46139</v>
      </c>
      <c r="C366" s="8">
        <v>46150</v>
      </c>
      <c r="D366" s="8">
        <v>46153</v>
      </c>
      <c r="E366" s="3" t="s">
        <v>70</v>
      </c>
      <c r="F366" s="3" t="s">
        <v>71</v>
      </c>
      <c r="G366" s="3" t="s">
        <v>72</v>
      </c>
      <c r="H366" s="3" t="s">
        <v>73</v>
      </c>
      <c r="I366" s="3" t="s">
        <v>74</v>
      </c>
      <c r="J366" s="3" t="s">
        <v>75</v>
      </c>
      <c r="K366" s="3" t="s">
        <v>76</v>
      </c>
      <c r="L366" s="3" t="s">
        <v>77</v>
      </c>
      <c r="M366" s="3" t="s">
        <v>78</v>
      </c>
      <c r="N366" s="3">
        <v>7.4</v>
      </c>
      <c r="O366" s="9">
        <v>7400</v>
      </c>
      <c r="P366" s="10">
        <v>1797</v>
      </c>
      <c r="Q366" s="10">
        <v>1345</v>
      </c>
      <c r="R366" s="11">
        <f>P366-Q366</f>
        <v>452</v>
      </c>
      <c r="S366" s="12">
        <f>R366/P366</f>
        <v>0.25153032832498606</v>
      </c>
      <c r="T366" s="3">
        <v>2</v>
      </c>
      <c r="U366" s="3">
        <v>3</v>
      </c>
      <c r="V366" s="3" t="str">
        <f>IF(U366&lt;=T366+1,"On-Time","Late")</f>
        <v>On-Time</v>
      </c>
      <c r="W366" s="3" t="s">
        <v>79</v>
      </c>
      <c r="X366" s="3" t="s">
        <v>80</v>
      </c>
      <c r="Y366" s="3" t="s">
        <v>137</v>
      </c>
    </row>
    <row r="367" spans="1:25">
      <c r="A367" s="3" t="s">
        <v>512</v>
      </c>
      <c r="B367" s="8">
        <v>46139</v>
      </c>
      <c r="C367" s="8">
        <v>46145</v>
      </c>
      <c r="D367" s="8">
        <v>46148</v>
      </c>
      <c r="E367" s="3" t="s">
        <v>103</v>
      </c>
      <c r="F367" s="3" t="s">
        <v>96</v>
      </c>
      <c r="G367" s="3" t="s">
        <v>85</v>
      </c>
      <c r="H367" s="3" t="s">
        <v>119</v>
      </c>
      <c r="I367" s="3" t="s">
        <v>120</v>
      </c>
      <c r="J367" s="3" t="s">
        <v>121</v>
      </c>
      <c r="K367" s="3" t="s">
        <v>108</v>
      </c>
      <c r="L367" s="3" t="s">
        <v>109</v>
      </c>
      <c r="M367" s="3" t="s">
        <v>115</v>
      </c>
      <c r="N367" s="3">
        <v>5.4</v>
      </c>
      <c r="O367" s="9">
        <v>5400</v>
      </c>
      <c r="P367" s="10">
        <v>25250</v>
      </c>
      <c r="Q367" s="10">
        <v>19622</v>
      </c>
      <c r="R367" s="11">
        <f>P367-Q367</f>
        <v>5628</v>
      </c>
      <c r="S367" s="12">
        <f>R367/P367</f>
        <v>0.22289108910891089</v>
      </c>
      <c r="T367" s="3">
        <v>3</v>
      </c>
      <c r="U367" s="3">
        <v>3</v>
      </c>
      <c r="V367" s="3" t="str">
        <f>IF(U367&lt;=T367+1,"On-Time","Late")</f>
        <v>On-Time</v>
      </c>
      <c r="W367" s="3" t="s">
        <v>79</v>
      </c>
      <c r="X367" s="3" t="s">
        <v>111</v>
      </c>
      <c r="Y367" s="3" t="s">
        <v>117</v>
      </c>
    </row>
    <row r="368" spans="1:25">
      <c r="A368" s="3" t="s">
        <v>513</v>
      </c>
      <c r="B368" s="8">
        <v>46144</v>
      </c>
      <c r="C368" s="8">
        <v>46149</v>
      </c>
      <c r="D368" s="8">
        <v>46152</v>
      </c>
      <c r="E368" s="3" t="s">
        <v>70</v>
      </c>
      <c r="F368" s="3" t="s">
        <v>96</v>
      </c>
      <c r="G368" s="3" t="s">
        <v>72</v>
      </c>
      <c r="H368" s="3" t="s">
        <v>73</v>
      </c>
      <c r="I368" s="3" t="s">
        <v>74</v>
      </c>
      <c r="J368" s="3" t="s">
        <v>75</v>
      </c>
      <c r="K368" s="3" t="s">
        <v>76</v>
      </c>
      <c r="L368" s="3" t="s">
        <v>77</v>
      </c>
      <c r="M368" s="3" t="s">
        <v>219</v>
      </c>
      <c r="N368" s="3">
        <v>6.6</v>
      </c>
      <c r="O368" s="9">
        <v>6600</v>
      </c>
      <c r="P368" s="10">
        <v>1152</v>
      </c>
      <c r="Q368" s="10">
        <v>861</v>
      </c>
      <c r="R368" s="11">
        <f>P368-Q368</f>
        <v>291</v>
      </c>
      <c r="S368" s="12">
        <f>R368/P368</f>
        <v>0.25260416666666669</v>
      </c>
      <c r="T368" s="3">
        <v>2</v>
      </c>
      <c r="U368" s="3">
        <v>3</v>
      </c>
      <c r="V368" s="3" t="str">
        <f>IF(U368&lt;=T368+1,"On-Time","Late")</f>
        <v>On-Time</v>
      </c>
      <c r="W368" s="3" t="s">
        <v>79</v>
      </c>
      <c r="X368" s="3" t="s">
        <v>80</v>
      </c>
      <c r="Y368" s="3" t="s">
        <v>117</v>
      </c>
    </row>
    <row r="369" spans="1:25">
      <c r="A369" s="3" t="s">
        <v>514</v>
      </c>
      <c r="B369" s="8">
        <v>46159</v>
      </c>
      <c r="C369" s="8">
        <v>46170</v>
      </c>
      <c r="D369" s="8">
        <v>46189</v>
      </c>
      <c r="E369" s="3" t="s">
        <v>83</v>
      </c>
      <c r="F369" s="3" t="s">
        <v>96</v>
      </c>
      <c r="G369" s="3" t="s">
        <v>85</v>
      </c>
      <c r="H369" s="3" t="s">
        <v>86</v>
      </c>
      <c r="I369" s="3" t="s">
        <v>87</v>
      </c>
      <c r="J369" s="3" t="s">
        <v>88</v>
      </c>
      <c r="K369" s="3" t="s">
        <v>89</v>
      </c>
      <c r="L369" s="3" t="s">
        <v>90</v>
      </c>
      <c r="M369" s="3" t="s">
        <v>147</v>
      </c>
      <c r="N369" s="3">
        <v>2</v>
      </c>
      <c r="O369" s="9">
        <v>27992</v>
      </c>
      <c r="P369" s="10">
        <v>5012</v>
      </c>
      <c r="Q369" s="10">
        <v>4423</v>
      </c>
      <c r="R369" s="11">
        <f>P369-Q369</f>
        <v>589</v>
      </c>
      <c r="S369" s="12">
        <f>R369/P369</f>
        <v>0.11751795690343177</v>
      </c>
      <c r="T369" s="3">
        <v>18</v>
      </c>
      <c r="U369" s="3">
        <v>19</v>
      </c>
      <c r="V369" s="3" t="str">
        <f>IF(U369&lt;=T369+1,"On-Time","Late")</f>
        <v>On-Time</v>
      </c>
      <c r="W369" s="3" t="s">
        <v>196</v>
      </c>
      <c r="X369" s="3" t="s">
        <v>80</v>
      </c>
      <c r="Y369" s="3" t="s">
        <v>137</v>
      </c>
    </row>
    <row r="370" spans="1:25">
      <c r="A370" s="3" t="s">
        <v>515</v>
      </c>
      <c r="B370" s="8">
        <v>46132</v>
      </c>
      <c r="C370" s="8">
        <v>46145</v>
      </c>
      <c r="D370" s="8">
        <v>46151</v>
      </c>
      <c r="E370" s="3" t="s">
        <v>103</v>
      </c>
      <c r="F370" s="3" t="s">
        <v>96</v>
      </c>
      <c r="G370" s="3" t="s">
        <v>132</v>
      </c>
      <c r="H370" s="3" t="s">
        <v>105</v>
      </c>
      <c r="I370" s="3" t="s">
        <v>133</v>
      </c>
      <c r="J370" s="3" t="s">
        <v>107</v>
      </c>
      <c r="K370" s="3" t="s">
        <v>113</v>
      </c>
      <c r="L370" s="3" t="s">
        <v>114</v>
      </c>
      <c r="M370" s="3" t="s">
        <v>143</v>
      </c>
      <c r="N370" s="3">
        <v>4.3</v>
      </c>
      <c r="O370" s="9">
        <v>4300</v>
      </c>
      <c r="P370" s="10">
        <v>17174</v>
      </c>
      <c r="Q370" s="10">
        <v>13269</v>
      </c>
      <c r="R370" s="11">
        <f>P370-Q370</f>
        <v>3905</v>
      </c>
      <c r="S370" s="12">
        <f>R370/P370</f>
        <v>0.22737859555141493</v>
      </c>
      <c r="T370" s="3">
        <v>2</v>
      </c>
      <c r="U370" s="3">
        <v>6</v>
      </c>
      <c r="V370" s="3" t="str">
        <f>IF(U370&lt;=T370+1,"On-Time","Late")</f>
        <v>Late</v>
      </c>
      <c r="W370" s="3" t="s">
        <v>79</v>
      </c>
      <c r="X370" s="3" t="s">
        <v>116</v>
      </c>
      <c r="Y370" s="3" t="s">
        <v>92</v>
      </c>
    </row>
    <row r="371" spans="1:25">
      <c r="A371" s="3" t="s">
        <v>516</v>
      </c>
      <c r="B371" s="8">
        <v>46051</v>
      </c>
      <c r="C371" s="8">
        <v>46058</v>
      </c>
      <c r="D371" s="8">
        <v>46061</v>
      </c>
      <c r="E371" s="3" t="s">
        <v>103</v>
      </c>
      <c r="F371" s="3" t="s">
        <v>96</v>
      </c>
      <c r="G371" s="3" t="s">
        <v>104</v>
      </c>
      <c r="H371" s="3" t="s">
        <v>105</v>
      </c>
      <c r="I371" s="3" t="s">
        <v>106</v>
      </c>
      <c r="J371" s="3" t="s">
        <v>107</v>
      </c>
      <c r="K371" s="3" t="s">
        <v>123</v>
      </c>
      <c r="L371" s="3" t="s">
        <v>124</v>
      </c>
      <c r="M371" s="3" t="s">
        <v>143</v>
      </c>
      <c r="N371" s="3">
        <v>3</v>
      </c>
      <c r="O371" s="9">
        <v>3000</v>
      </c>
      <c r="P371" s="10">
        <v>15135</v>
      </c>
      <c r="Q371" s="10">
        <v>11800</v>
      </c>
      <c r="R371" s="11">
        <f>P371-Q371</f>
        <v>3335</v>
      </c>
      <c r="S371" s="12">
        <f>R371/P371</f>
        <v>0.22035018169805087</v>
      </c>
      <c r="T371" s="3">
        <v>2</v>
      </c>
      <c r="U371" s="3">
        <v>3</v>
      </c>
      <c r="V371" s="3" t="str">
        <f>IF(U371&lt;=T371+1,"On-Time","Late")</f>
        <v>On-Time</v>
      </c>
      <c r="W371" s="3" t="s">
        <v>79</v>
      </c>
      <c r="X371" s="3" t="s">
        <v>80</v>
      </c>
      <c r="Y371" s="3" t="s">
        <v>94</v>
      </c>
    </row>
    <row r="372" spans="1:25">
      <c r="A372" s="3" t="s">
        <v>517</v>
      </c>
      <c r="B372" s="8">
        <v>46119</v>
      </c>
      <c r="C372" s="8">
        <v>46125</v>
      </c>
      <c r="D372" s="8">
        <v>46128</v>
      </c>
      <c r="E372" s="3" t="s">
        <v>103</v>
      </c>
      <c r="F372" s="3" t="s">
        <v>71</v>
      </c>
      <c r="G372" s="3" t="s">
        <v>150</v>
      </c>
      <c r="H372" s="3" t="s">
        <v>119</v>
      </c>
      <c r="I372" s="3" t="s">
        <v>151</v>
      </c>
      <c r="J372" s="3" t="s">
        <v>121</v>
      </c>
      <c r="K372" s="3" t="s">
        <v>160</v>
      </c>
      <c r="L372" s="3" t="s">
        <v>161</v>
      </c>
      <c r="M372" s="3" t="s">
        <v>110</v>
      </c>
      <c r="N372" s="3">
        <v>0.8</v>
      </c>
      <c r="O372" s="9">
        <v>800</v>
      </c>
      <c r="P372" s="10">
        <v>3485</v>
      </c>
      <c r="Q372" s="10">
        <v>2769</v>
      </c>
      <c r="R372" s="11">
        <f>P372-Q372</f>
        <v>716</v>
      </c>
      <c r="S372" s="12">
        <f>R372/P372</f>
        <v>0.20545193687230989</v>
      </c>
      <c r="T372" s="3">
        <v>3</v>
      </c>
      <c r="U372" s="3">
        <v>3</v>
      </c>
      <c r="V372" s="3" t="str">
        <f>IF(U372&lt;=T372+1,"On-Time","Late")</f>
        <v>On-Time</v>
      </c>
      <c r="W372" s="3" t="s">
        <v>79</v>
      </c>
      <c r="X372" s="3" t="s">
        <v>116</v>
      </c>
      <c r="Y372" s="3" t="s">
        <v>81</v>
      </c>
    </row>
    <row r="373" spans="1:25">
      <c r="A373" s="3" t="s">
        <v>518</v>
      </c>
      <c r="B373" s="8">
        <v>46148</v>
      </c>
      <c r="C373" s="8">
        <v>46155</v>
      </c>
      <c r="D373" s="8">
        <v>46157</v>
      </c>
      <c r="E373" s="3" t="s">
        <v>103</v>
      </c>
      <c r="F373" s="3" t="s">
        <v>149</v>
      </c>
      <c r="G373" s="3" t="s">
        <v>104</v>
      </c>
      <c r="H373" s="3" t="s">
        <v>105</v>
      </c>
      <c r="I373" s="3" t="s">
        <v>106</v>
      </c>
      <c r="J373" s="3" t="s">
        <v>107</v>
      </c>
      <c r="K373" s="3" t="s">
        <v>113</v>
      </c>
      <c r="L373" s="3" t="s">
        <v>114</v>
      </c>
      <c r="M373" s="3" t="s">
        <v>115</v>
      </c>
      <c r="N373" s="3">
        <v>2.5</v>
      </c>
      <c r="O373" s="9">
        <v>2500</v>
      </c>
      <c r="P373" s="10">
        <v>10857</v>
      </c>
      <c r="Q373" s="10">
        <v>8409</v>
      </c>
      <c r="R373" s="11">
        <f>P373-Q373</f>
        <v>2448</v>
      </c>
      <c r="S373" s="12">
        <f>R373/P373</f>
        <v>0.2254766510085659</v>
      </c>
      <c r="T373" s="3">
        <v>2</v>
      </c>
      <c r="U373" s="3">
        <v>2</v>
      </c>
      <c r="V373" s="3" t="str">
        <f>IF(U373&lt;=T373+1,"On-Time","Late")</f>
        <v>On-Time</v>
      </c>
      <c r="W373" s="3" t="s">
        <v>79</v>
      </c>
      <c r="X373" s="3" t="s">
        <v>116</v>
      </c>
      <c r="Y373" s="3" t="s">
        <v>137</v>
      </c>
    </row>
    <row r="374" spans="1:25">
      <c r="A374" s="3" t="s">
        <v>519</v>
      </c>
      <c r="B374" s="8">
        <v>46152</v>
      </c>
      <c r="C374" s="8">
        <v>46166</v>
      </c>
      <c r="D374" s="8">
        <v>46186</v>
      </c>
      <c r="E374" s="3" t="s">
        <v>83</v>
      </c>
      <c r="F374" s="3" t="s">
        <v>96</v>
      </c>
      <c r="G374" s="3" t="s">
        <v>126</v>
      </c>
      <c r="H374" s="3" t="s">
        <v>86</v>
      </c>
      <c r="I374" s="3" t="s">
        <v>127</v>
      </c>
      <c r="J374" s="3" t="s">
        <v>88</v>
      </c>
      <c r="K374" s="3" t="s">
        <v>128</v>
      </c>
      <c r="L374" s="3" t="s">
        <v>129</v>
      </c>
      <c r="M374" s="3" t="s">
        <v>167</v>
      </c>
      <c r="N374" s="3">
        <v>2</v>
      </c>
      <c r="O374" s="9">
        <v>33808</v>
      </c>
      <c r="P374" s="10">
        <v>4880</v>
      </c>
      <c r="Q374" s="10">
        <v>3905</v>
      </c>
      <c r="R374" s="11">
        <f>P374-Q374</f>
        <v>975</v>
      </c>
      <c r="S374" s="12">
        <f>R374/P374</f>
        <v>0.19979508196721313</v>
      </c>
      <c r="T374" s="3">
        <v>19</v>
      </c>
      <c r="U374" s="3">
        <v>20</v>
      </c>
      <c r="V374" s="3" t="str">
        <f>IF(U374&lt;=T374+1,"On-Time","Late")</f>
        <v>On-Time</v>
      </c>
      <c r="W374" s="3" t="s">
        <v>79</v>
      </c>
      <c r="X374" s="3" t="s">
        <v>116</v>
      </c>
      <c r="Y374" s="3" t="s">
        <v>92</v>
      </c>
    </row>
    <row r="375" spans="1:25">
      <c r="A375" s="3" t="s">
        <v>520</v>
      </c>
      <c r="B375" s="8">
        <v>46037</v>
      </c>
      <c r="C375" s="8">
        <v>46042</v>
      </c>
      <c r="D375" s="8">
        <v>46057</v>
      </c>
      <c r="E375" s="3" t="s">
        <v>83</v>
      </c>
      <c r="F375" s="3" t="s">
        <v>84</v>
      </c>
      <c r="G375" s="3" t="s">
        <v>98</v>
      </c>
      <c r="H375" s="3" t="s">
        <v>99</v>
      </c>
      <c r="I375" s="3" t="s">
        <v>100</v>
      </c>
      <c r="J375" s="3" t="s">
        <v>101</v>
      </c>
      <c r="K375" s="3" t="s">
        <v>165</v>
      </c>
      <c r="L375" s="3" t="s">
        <v>166</v>
      </c>
      <c r="M375" s="3" t="s">
        <v>147</v>
      </c>
      <c r="N375" s="3">
        <v>2</v>
      </c>
      <c r="O375" s="9">
        <v>28160</v>
      </c>
      <c r="P375" s="10">
        <v>5908</v>
      </c>
      <c r="Q375" s="10">
        <v>5070</v>
      </c>
      <c r="R375" s="11">
        <f>P375-Q375</f>
        <v>838</v>
      </c>
      <c r="S375" s="12">
        <f>R375/P375</f>
        <v>0.14184157075152337</v>
      </c>
      <c r="T375" s="3">
        <v>14</v>
      </c>
      <c r="U375" s="3">
        <v>15</v>
      </c>
      <c r="V375" s="3" t="str">
        <f>IF(U375&lt;=T375+1,"On-Time","Late")</f>
        <v>On-Time</v>
      </c>
      <c r="W375" s="3" t="s">
        <v>79</v>
      </c>
      <c r="X375" s="3" t="s">
        <v>111</v>
      </c>
      <c r="Y375" s="3" t="s">
        <v>81</v>
      </c>
    </row>
    <row r="376" spans="1:25">
      <c r="A376" s="3" t="s">
        <v>521</v>
      </c>
      <c r="B376" s="8">
        <v>46149</v>
      </c>
      <c r="C376" s="8">
        <v>46157</v>
      </c>
      <c r="D376" s="8">
        <v>46159</v>
      </c>
      <c r="E376" s="3" t="s">
        <v>103</v>
      </c>
      <c r="F376" s="3" t="s">
        <v>149</v>
      </c>
      <c r="G376" s="3" t="s">
        <v>104</v>
      </c>
      <c r="H376" s="3" t="s">
        <v>105</v>
      </c>
      <c r="I376" s="3" t="s">
        <v>106</v>
      </c>
      <c r="J376" s="3" t="s">
        <v>107</v>
      </c>
      <c r="K376" s="3" t="s">
        <v>113</v>
      </c>
      <c r="L376" s="3" t="s">
        <v>114</v>
      </c>
      <c r="M376" s="3" t="s">
        <v>115</v>
      </c>
      <c r="N376" s="3">
        <v>2.2999999999999998</v>
      </c>
      <c r="O376" s="9">
        <v>2300</v>
      </c>
      <c r="P376" s="10">
        <v>11681</v>
      </c>
      <c r="Q376" s="10">
        <v>9183</v>
      </c>
      <c r="R376" s="11">
        <f>P376-Q376</f>
        <v>2498</v>
      </c>
      <c r="S376" s="12">
        <f>R376/P376</f>
        <v>0.21385155380532489</v>
      </c>
      <c r="T376" s="3">
        <v>2</v>
      </c>
      <c r="U376" s="3">
        <v>2</v>
      </c>
      <c r="V376" s="3" t="str">
        <f>IF(U376&lt;=T376+1,"On-Time","Late")</f>
        <v>On-Time</v>
      </c>
      <c r="W376" s="3" t="s">
        <v>79</v>
      </c>
      <c r="X376" s="3" t="s">
        <v>116</v>
      </c>
      <c r="Y376" s="3" t="s">
        <v>137</v>
      </c>
    </row>
    <row r="377" spans="1:25">
      <c r="A377" s="3" t="s">
        <v>522</v>
      </c>
      <c r="B377" s="8">
        <v>46077</v>
      </c>
      <c r="C377" s="8">
        <v>46090</v>
      </c>
      <c r="D377" s="8">
        <v>46094</v>
      </c>
      <c r="E377" s="3" t="s">
        <v>103</v>
      </c>
      <c r="F377" s="3" t="s">
        <v>96</v>
      </c>
      <c r="G377" s="3" t="s">
        <v>150</v>
      </c>
      <c r="H377" s="3" t="s">
        <v>119</v>
      </c>
      <c r="I377" s="3" t="s">
        <v>151</v>
      </c>
      <c r="J377" s="3" t="s">
        <v>121</v>
      </c>
      <c r="K377" s="3" t="s">
        <v>160</v>
      </c>
      <c r="L377" s="3" t="s">
        <v>161</v>
      </c>
      <c r="M377" s="3" t="s">
        <v>115</v>
      </c>
      <c r="N377" s="3">
        <v>3.2</v>
      </c>
      <c r="O377" s="9">
        <v>3200</v>
      </c>
      <c r="P377" s="10">
        <v>15056</v>
      </c>
      <c r="Q377" s="10">
        <v>11776</v>
      </c>
      <c r="R377" s="11">
        <f>P377-Q377</f>
        <v>3280</v>
      </c>
      <c r="S377" s="12">
        <f>R377/P377</f>
        <v>0.21785334750265675</v>
      </c>
      <c r="T377" s="3">
        <v>3</v>
      </c>
      <c r="U377" s="3">
        <v>4</v>
      </c>
      <c r="V377" s="3" t="str">
        <f>IF(U377&lt;=T377+1,"On-Time","Late")</f>
        <v>On-Time</v>
      </c>
      <c r="W377" s="3" t="s">
        <v>79</v>
      </c>
      <c r="X377" s="3" t="s">
        <v>116</v>
      </c>
      <c r="Y377" s="3" t="s">
        <v>92</v>
      </c>
    </row>
    <row r="378" spans="1:25">
      <c r="A378" s="3" t="s">
        <v>523</v>
      </c>
      <c r="B378" s="8">
        <v>46036</v>
      </c>
      <c r="C378" s="8">
        <v>46042</v>
      </c>
      <c r="D378" s="8">
        <v>46060</v>
      </c>
      <c r="E378" s="3" t="s">
        <v>83</v>
      </c>
      <c r="F378" s="3" t="s">
        <v>96</v>
      </c>
      <c r="G378" s="3" t="s">
        <v>140</v>
      </c>
      <c r="H378" s="3" t="s">
        <v>86</v>
      </c>
      <c r="I378" s="3" t="s">
        <v>141</v>
      </c>
      <c r="J378" s="3" t="s">
        <v>88</v>
      </c>
      <c r="K378" s="3" t="s">
        <v>156</v>
      </c>
      <c r="L378" s="3" t="s">
        <v>157</v>
      </c>
      <c r="M378" s="3" t="s">
        <v>147</v>
      </c>
      <c r="N378" s="3">
        <v>2</v>
      </c>
      <c r="O378" s="9">
        <v>23404</v>
      </c>
      <c r="P378" s="10">
        <v>6150</v>
      </c>
      <c r="Q378" s="10">
        <v>5025</v>
      </c>
      <c r="R378" s="11">
        <f>P378-Q378</f>
        <v>1125</v>
      </c>
      <c r="S378" s="12">
        <f>R378/P378</f>
        <v>0.18292682926829268</v>
      </c>
      <c r="T378" s="3">
        <v>18</v>
      </c>
      <c r="U378" s="3">
        <v>18</v>
      </c>
      <c r="V378" s="3" t="str">
        <f>IF(U378&lt;=T378+1,"On-Time","Late")</f>
        <v>On-Time</v>
      </c>
      <c r="W378" s="3" t="s">
        <v>79</v>
      </c>
      <c r="X378" s="3" t="s">
        <v>111</v>
      </c>
      <c r="Y378" s="3" t="s">
        <v>81</v>
      </c>
    </row>
    <row r="379" spans="1:25">
      <c r="A379" s="3" t="s">
        <v>524</v>
      </c>
      <c r="B379" s="8">
        <v>46094</v>
      </c>
      <c r="C379" s="8">
        <v>46105</v>
      </c>
      <c r="D379" s="8">
        <v>46108</v>
      </c>
      <c r="E379" s="3" t="s">
        <v>70</v>
      </c>
      <c r="F379" s="3" t="s">
        <v>96</v>
      </c>
      <c r="G379" s="3" t="s">
        <v>72</v>
      </c>
      <c r="H379" s="3" t="s">
        <v>73</v>
      </c>
      <c r="I379" s="3" t="s">
        <v>74</v>
      </c>
      <c r="J379" s="3" t="s">
        <v>75</v>
      </c>
      <c r="K379" s="3" t="s">
        <v>76</v>
      </c>
      <c r="L379" s="3" t="s">
        <v>77</v>
      </c>
      <c r="M379" s="3" t="s">
        <v>78</v>
      </c>
      <c r="N379" s="3">
        <v>7.3</v>
      </c>
      <c r="O379" s="9">
        <v>7300</v>
      </c>
      <c r="P379" s="10">
        <v>1123</v>
      </c>
      <c r="Q379" s="10">
        <v>831</v>
      </c>
      <c r="R379" s="11">
        <f>P379-Q379</f>
        <v>292</v>
      </c>
      <c r="S379" s="12">
        <f>R379/P379</f>
        <v>0.26001780943900266</v>
      </c>
      <c r="T379" s="3">
        <v>2</v>
      </c>
      <c r="U379" s="3">
        <v>3</v>
      </c>
      <c r="V379" s="3" t="str">
        <f>IF(U379&lt;=T379+1,"On-Time","Late")</f>
        <v>On-Time</v>
      </c>
      <c r="W379" s="3" t="s">
        <v>79</v>
      </c>
      <c r="X379" s="3" t="s">
        <v>80</v>
      </c>
      <c r="Y379" s="3" t="s">
        <v>94</v>
      </c>
    </row>
    <row r="380" spans="1:25">
      <c r="A380" s="3" t="s">
        <v>525</v>
      </c>
      <c r="B380" s="8">
        <v>46143</v>
      </c>
      <c r="C380" s="8">
        <v>46155</v>
      </c>
      <c r="D380" s="8">
        <v>46173</v>
      </c>
      <c r="E380" s="3" t="s">
        <v>83</v>
      </c>
      <c r="F380" s="3" t="s">
        <v>96</v>
      </c>
      <c r="G380" s="3" t="s">
        <v>140</v>
      </c>
      <c r="H380" s="3" t="s">
        <v>86</v>
      </c>
      <c r="I380" s="3" t="s">
        <v>141</v>
      </c>
      <c r="J380" s="3" t="s">
        <v>88</v>
      </c>
      <c r="K380" s="3" t="s">
        <v>89</v>
      </c>
      <c r="L380" s="3" t="s">
        <v>90</v>
      </c>
      <c r="M380" s="3" t="s">
        <v>136</v>
      </c>
      <c r="N380" s="3">
        <v>1</v>
      </c>
      <c r="O380" s="9">
        <v>11951</v>
      </c>
      <c r="P380" s="10">
        <v>2744</v>
      </c>
      <c r="Q380" s="10">
        <v>2312</v>
      </c>
      <c r="R380" s="11">
        <f>P380-Q380</f>
        <v>432</v>
      </c>
      <c r="S380" s="12">
        <f>R380/P380</f>
        <v>0.15743440233236153</v>
      </c>
      <c r="T380" s="3">
        <v>18</v>
      </c>
      <c r="U380" s="3">
        <v>18</v>
      </c>
      <c r="V380" s="3" t="str">
        <f>IF(U380&lt;=T380+1,"On-Time","Late")</f>
        <v>On-Time</v>
      </c>
      <c r="W380" s="3" t="s">
        <v>79</v>
      </c>
      <c r="X380" s="3" t="s">
        <v>80</v>
      </c>
      <c r="Y380" s="3" t="s">
        <v>92</v>
      </c>
    </row>
    <row r="381" spans="1:25">
      <c r="A381" s="3" t="s">
        <v>526</v>
      </c>
      <c r="B381" s="8">
        <v>46024</v>
      </c>
      <c r="C381" s="8">
        <v>46038</v>
      </c>
      <c r="D381" s="8">
        <v>46056</v>
      </c>
      <c r="E381" s="3" t="s">
        <v>83</v>
      </c>
      <c r="F381" s="3" t="s">
        <v>84</v>
      </c>
      <c r="G381" s="3" t="s">
        <v>85</v>
      </c>
      <c r="H381" s="3" t="s">
        <v>86</v>
      </c>
      <c r="I381" s="3" t="s">
        <v>87</v>
      </c>
      <c r="J381" s="3" t="s">
        <v>88</v>
      </c>
      <c r="K381" s="3" t="s">
        <v>156</v>
      </c>
      <c r="L381" s="3" t="s">
        <v>157</v>
      </c>
      <c r="M381" s="3" t="s">
        <v>130</v>
      </c>
      <c r="N381" s="3">
        <v>2</v>
      </c>
      <c r="O381" s="9">
        <v>18134</v>
      </c>
      <c r="P381" s="10">
        <v>4898</v>
      </c>
      <c r="Q381" s="10">
        <v>4106</v>
      </c>
      <c r="R381" s="11">
        <f>P381-Q381</f>
        <v>792</v>
      </c>
      <c r="S381" s="12">
        <f>R381/P381</f>
        <v>0.16169865251122909</v>
      </c>
      <c r="T381" s="3">
        <v>18</v>
      </c>
      <c r="U381" s="3">
        <v>18</v>
      </c>
      <c r="V381" s="3" t="str">
        <f>IF(U381&lt;=T381+1,"On-Time","Late")</f>
        <v>On-Time</v>
      </c>
      <c r="W381" s="3" t="s">
        <v>79</v>
      </c>
      <c r="X381" s="3" t="s">
        <v>111</v>
      </c>
      <c r="Y381" s="3" t="s">
        <v>117</v>
      </c>
    </row>
    <row r="382" spans="1:25">
      <c r="A382" s="3" t="s">
        <v>527</v>
      </c>
      <c r="B382" s="8">
        <v>46022</v>
      </c>
      <c r="C382" s="8">
        <v>46029</v>
      </c>
      <c r="D382" s="8">
        <v>46031</v>
      </c>
      <c r="E382" s="3" t="s">
        <v>103</v>
      </c>
      <c r="F382" s="3" t="s">
        <v>96</v>
      </c>
      <c r="G382" s="3" t="s">
        <v>132</v>
      </c>
      <c r="H382" s="3" t="s">
        <v>105</v>
      </c>
      <c r="I382" s="3" t="s">
        <v>133</v>
      </c>
      <c r="J382" s="3" t="s">
        <v>107</v>
      </c>
      <c r="K382" s="3" t="s">
        <v>113</v>
      </c>
      <c r="L382" s="3" t="s">
        <v>114</v>
      </c>
      <c r="M382" s="3" t="s">
        <v>143</v>
      </c>
      <c r="N382" s="3">
        <v>2.1</v>
      </c>
      <c r="O382" s="9">
        <v>2100</v>
      </c>
      <c r="P382" s="10">
        <v>7602</v>
      </c>
      <c r="Q382" s="10">
        <v>5873</v>
      </c>
      <c r="R382" s="11">
        <f>P382-Q382</f>
        <v>1729</v>
      </c>
      <c r="S382" s="12">
        <f>R382/P382</f>
        <v>0.22744014732965009</v>
      </c>
      <c r="T382" s="3">
        <v>2</v>
      </c>
      <c r="U382" s="3">
        <v>2</v>
      </c>
      <c r="V382" s="3" t="str">
        <f>IF(U382&lt;=T382+1,"On-Time","Late")</f>
        <v>On-Time</v>
      </c>
      <c r="W382" s="3" t="s">
        <v>79</v>
      </c>
      <c r="X382" s="3" t="s">
        <v>116</v>
      </c>
      <c r="Y382" s="3" t="s">
        <v>117</v>
      </c>
    </row>
    <row r="383" spans="1:25">
      <c r="A383" s="3" t="s">
        <v>528</v>
      </c>
      <c r="B383" s="8">
        <v>46076</v>
      </c>
      <c r="C383" s="8">
        <v>46084</v>
      </c>
      <c r="D383" s="8">
        <v>46103</v>
      </c>
      <c r="E383" s="3" t="s">
        <v>83</v>
      </c>
      <c r="F383" s="3" t="s">
        <v>96</v>
      </c>
      <c r="G383" s="3" t="s">
        <v>140</v>
      </c>
      <c r="H383" s="3" t="s">
        <v>86</v>
      </c>
      <c r="I383" s="3" t="s">
        <v>141</v>
      </c>
      <c r="J383" s="3" t="s">
        <v>88</v>
      </c>
      <c r="K383" s="3" t="s">
        <v>156</v>
      </c>
      <c r="L383" s="3" t="s">
        <v>157</v>
      </c>
      <c r="M383" s="3" t="s">
        <v>167</v>
      </c>
      <c r="N383" s="3">
        <v>6</v>
      </c>
      <c r="O383" s="9">
        <v>69180</v>
      </c>
      <c r="P383" s="10">
        <v>19572</v>
      </c>
      <c r="Q383" s="10">
        <v>16358</v>
      </c>
      <c r="R383" s="11">
        <f>P383-Q383</f>
        <v>3214</v>
      </c>
      <c r="S383" s="12">
        <f>R383/P383</f>
        <v>0.16421418352748826</v>
      </c>
      <c r="T383" s="3">
        <v>18</v>
      </c>
      <c r="U383" s="3">
        <v>19</v>
      </c>
      <c r="V383" s="3" t="str">
        <f>IF(U383&lt;=T383+1,"On-Time","Late")</f>
        <v>On-Time</v>
      </c>
      <c r="W383" s="3" t="s">
        <v>79</v>
      </c>
      <c r="X383" s="3" t="s">
        <v>111</v>
      </c>
      <c r="Y383" s="3" t="s">
        <v>94</v>
      </c>
    </row>
    <row r="384" spans="1:25">
      <c r="A384" s="3" t="s">
        <v>529</v>
      </c>
      <c r="B384" s="8">
        <v>46126</v>
      </c>
      <c r="C384" s="8">
        <v>46133</v>
      </c>
      <c r="D384" s="8">
        <v>46149</v>
      </c>
      <c r="E384" s="3" t="s">
        <v>83</v>
      </c>
      <c r="F384" s="3" t="s">
        <v>96</v>
      </c>
      <c r="G384" s="3" t="s">
        <v>98</v>
      </c>
      <c r="H384" s="3" t="s">
        <v>99</v>
      </c>
      <c r="I384" s="3" t="s">
        <v>100</v>
      </c>
      <c r="J384" s="3" t="s">
        <v>101</v>
      </c>
      <c r="K384" s="3" t="s">
        <v>76</v>
      </c>
      <c r="L384" s="3" t="s">
        <v>77</v>
      </c>
      <c r="M384" s="3" t="s">
        <v>130</v>
      </c>
      <c r="N384" s="3">
        <v>2</v>
      </c>
      <c r="O384" s="9">
        <v>27282</v>
      </c>
      <c r="P384" s="10">
        <v>5966</v>
      </c>
      <c r="Q384" s="10">
        <v>4924</v>
      </c>
      <c r="R384" s="11">
        <f>P384-Q384</f>
        <v>1042</v>
      </c>
      <c r="S384" s="12">
        <f>R384/P384</f>
        <v>0.17465638618840093</v>
      </c>
      <c r="T384" s="3">
        <v>14</v>
      </c>
      <c r="U384" s="3">
        <v>16</v>
      </c>
      <c r="V384" s="3" t="str">
        <f>IF(U384&lt;=T384+1,"On-Time","Late")</f>
        <v>Late</v>
      </c>
      <c r="W384" s="3" t="s">
        <v>79</v>
      </c>
      <c r="X384" s="3" t="s">
        <v>80</v>
      </c>
      <c r="Y384" s="3" t="s">
        <v>117</v>
      </c>
    </row>
    <row r="385" spans="1:25">
      <c r="A385" s="3" t="s">
        <v>530</v>
      </c>
      <c r="B385" s="8">
        <v>46050</v>
      </c>
      <c r="C385" s="8">
        <v>46059</v>
      </c>
      <c r="D385" s="8">
        <v>46063</v>
      </c>
      <c r="E385" s="3" t="s">
        <v>103</v>
      </c>
      <c r="F385" s="3" t="s">
        <v>96</v>
      </c>
      <c r="G385" s="3" t="s">
        <v>85</v>
      </c>
      <c r="H385" s="3" t="s">
        <v>119</v>
      </c>
      <c r="I385" s="3" t="s">
        <v>120</v>
      </c>
      <c r="J385" s="3" t="s">
        <v>121</v>
      </c>
      <c r="K385" s="3" t="s">
        <v>108</v>
      </c>
      <c r="L385" s="3" t="s">
        <v>109</v>
      </c>
      <c r="M385" s="3" t="s">
        <v>143</v>
      </c>
      <c r="N385" s="3">
        <v>0.7</v>
      </c>
      <c r="O385" s="9">
        <v>700</v>
      </c>
      <c r="P385" s="10">
        <v>2755</v>
      </c>
      <c r="Q385" s="10">
        <v>2162</v>
      </c>
      <c r="R385" s="11">
        <f>P385-Q385</f>
        <v>593</v>
      </c>
      <c r="S385" s="12">
        <f>R385/P385</f>
        <v>0.21524500907441016</v>
      </c>
      <c r="T385" s="3">
        <v>3</v>
      </c>
      <c r="U385" s="3">
        <v>4</v>
      </c>
      <c r="V385" s="3" t="str">
        <f>IF(U385&lt;=T385+1,"On-Time","Late")</f>
        <v>On-Time</v>
      </c>
      <c r="W385" s="3" t="s">
        <v>79</v>
      </c>
      <c r="X385" s="3" t="s">
        <v>111</v>
      </c>
      <c r="Y385" s="3" t="s">
        <v>92</v>
      </c>
    </row>
    <row r="386" spans="1:25">
      <c r="A386" s="3" t="s">
        <v>531</v>
      </c>
      <c r="B386" s="8">
        <v>46159</v>
      </c>
      <c r="C386" s="8">
        <v>46164</v>
      </c>
      <c r="D386" s="8">
        <v>46181</v>
      </c>
      <c r="E386" s="3" t="s">
        <v>83</v>
      </c>
      <c r="F386" s="3" t="s">
        <v>96</v>
      </c>
      <c r="G386" s="3" t="s">
        <v>98</v>
      </c>
      <c r="H386" s="3" t="s">
        <v>99</v>
      </c>
      <c r="I386" s="3" t="s">
        <v>100</v>
      </c>
      <c r="J386" s="3" t="s">
        <v>101</v>
      </c>
      <c r="K386" s="3" t="s">
        <v>165</v>
      </c>
      <c r="L386" s="3" t="s">
        <v>166</v>
      </c>
      <c r="M386" s="3" t="s">
        <v>167</v>
      </c>
      <c r="N386" s="3">
        <v>4</v>
      </c>
      <c r="O386" s="9">
        <v>55200</v>
      </c>
      <c r="P386" s="10">
        <v>10224</v>
      </c>
      <c r="Q386" s="10">
        <v>8592</v>
      </c>
      <c r="R386" s="11">
        <f>P386-Q386</f>
        <v>1632</v>
      </c>
      <c r="S386" s="12">
        <f>R386/P386</f>
        <v>0.15962441314553991</v>
      </c>
      <c r="T386" s="3">
        <v>14</v>
      </c>
      <c r="U386" s="3">
        <v>17</v>
      </c>
      <c r="V386" s="3" t="str">
        <f>IF(U386&lt;=T386+1,"On-Time","Late")</f>
        <v>Late</v>
      </c>
      <c r="W386" s="3" t="s">
        <v>79</v>
      </c>
      <c r="X386" s="3" t="s">
        <v>111</v>
      </c>
      <c r="Y386" s="3" t="s">
        <v>92</v>
      </c>
    </row>
    <row r="387" spans="1:25">
      <c r="A387" s="3" t="s">
        <v>532</v>
      </c>
      <c r="B387" s="8">
        <v>46043</v>
      </c>
      <c r="C387" s="8">
        <v>46053</v>
      </c>
      <c r="D387" s="8">
        <v>46057</v>
      </c>
      <c r="E387" s="3" t="s">
        <v>103</v>
      </c>
      <c r="F387" s="3" t="s">
        <v>149</v>
      </c>
      <c r="G387" s="3" t="s">
        <v>150</v>
      </c>
      <c r="H387" s="3" t="s">
        <v>119</v>
      </c>
      <c r="I387" s="3" t="s">
        <v>151</v>
      </c>
      <c r="J387" s="3" t="s">
        <v>121</v>
      </c>
      <c r="K387" s="3" t="s">
        <v>152</v>
      </c>
      <c r="L387" s="3" t="s">
        <v>153</v>
      </c>
      <c r="M387" s="3" t="s">
        <v>115</v>
      </c>
      <c r="N387" s="3">
        <v>1.4</v>
      </c>
      <c r="O387" s="9">
        <v>1400</v>
      </c>
      <c r="P387" s="10">
        <v>6687</v>
      </c>
      <c r="Q387" s="10">
        <v>5214</v>
      </c>
      <c r="R387" s="11">
        <f>P387-Q387</f>
        <v>1473</v>
      </c>
      <c r="S387" s="12">
        <f>R387/P387</f>
        <v>0.22027815163750561</v>
      </c>
      <c r="T387" s="3">
        <v>3</v>
      </c>
      <c r="U387" s="3">
        <v>4</v>
      </c>
      <c r="V387" s="3" t="str">
        <f>IF(U387&lt;=T387+1,"On-Time","Late")</f>
        <v>On-Time</v>
      </c>
      <c r="W387" s="3" t="s">
        <v>79</v>
      </c>
      <c r="X387" s="3" t="s">
        <v>111</v>
      </c>
      <c r="Y387" s="3" t="s">
        <v>92</v>
      </c>
    </row>
    <row r="388" spans="1:25">
      <c r="A388" s="3" t="s">
        <v>533</v>
      </c>
      <c r="B388" s="8">
        <v>46141</v>
      </c>
      <c r="C388" s="8">
        <v>46150</v>
      </c>
      <c r="D388" s="8">
        <v>46165</v>
      </c>
      <c r="E388" s="3" t="s">
        <v>83</v>
      </c>
      <c r="F388" s="3" t="s">
        <v>96</v>
      </c>
      <c r="G388" s="3" t="s">
        <v>98</v>
      </c>
      <c r="H388" s="3" t="s">
        <v>99</v>
      </c>
      <c r="I388" s="3" t="s">
        <v>100</v>
      </c>
      <c r="J388" s="3" t="s">
        <v>101</v>
      </c>
      <c r="K388" s="3" t="s">
        <v>165</v>
      </c>
      <c r="L388" s="3" t="s">
        <v>166</v>
      </c>
      <c r="M388" s="3" t="s">
        <v>147</v>
      </c>
      <c r="N388" s="3">
        <v>1</v>
      </c>
      <c r="O388" s="9">
        <v>15421</v>
      </c>
      <c r="P388" s="10">
        <v>2773</v>
      </c>
      <c r="Q388" s="10">
        <v>2275</v>
      </c>
      <c r="R388" s="11">
        <f>P388-Q388</f>
        <v>498</v>
      </c>
      <c r="S388" s="12">
        <f>R388/P388</f>
        <v>0.17958889289578076</v>
      </c>
      <c r="T388" s="3">
        <v>14</v>
      </c>
      <c r="U388" s="3">
        <v>15</v>
      </c>
      <c r="V388" s="3" t="str">
        <f>IF(U388&lt;=T388+1,"On-Time","Late")</f>
        <v>On-Time</v>
      </c>
      <c r="W388" s="3" t="s">
        <v>79</v>
      </c>
      <c r="X388" s="3" t="s">
        <v>111</v>
      </c>
      <c r="Y388" s="3" t="s">
        <v>92</v>
      </c>
    </row>
    <row r="389" spans="1:25">
      <c r="A389" s="3" t="s">
        <v>534</v>
      </c>
      <c r="B389" s="8">
        <v>46105</v>
      </c>
      <c r="C389" s="8">
        <v>46119</v>
      </c>
      <c r="D389" s="8">
        <v>46133</v>
      </c>
      <c r="E389" s="3" t="s">
        <v>83</v>
      </c>
      <c r="F389" s="3" t="s">
        <v>84</v>
      </c>
      <c r="G389" s="3" t="s">
        <v>98</v>
      </c>
      <c r="H389" s="3" t="s">
        <v>99</v>
      </c>
      <c r="I389" s="3" t="s">
        <v>100</v>
      </c>
      <c r="J389" s="3" t="s">
        <v>101</v>
      </c>
      <c r="K389" s="3" t="s">
        <v>76</v>
      </c>
      <c r="L389" s="3" t="s">
        <v>77</v>
      </c>
      <c r="M389" s="3" t="s">
        <v>167</v>
      </c>
      <c r="N389" s="3">
        <v>2</v>
      </c>
      <c r="O389" s="9">
        <v>34798</v>
      </c>
      <c r="P389" s="10">
        <v>6372</v>
      </c>
      <c r="Q389" s="10">
        <v>5217</v>
      </c>
      <c r="R389" s="11">
        <f>P389-Q389</f>
        <v>1155</v>
      </c>
      <c r="S389" s="12">
        <f>R389/P389</f>
        <v>0.1812617702448211</v>
      </c>
      <c r="T389" s="3">
        <v>14</v>
      </c>
      <c r="U389" s="3">
        <v>14</v>
      </c>
      <c r="V389" s="3" t="str">
        <f>IF(U389&lt;=T389+1,"On-Time","Late")</f>
        <v>On-Time</v>
      </c>
      <c r="W389" s="3" t="s">
        <v>79</v>
      </c>
      <c r="X389" s="3" t="s">
        <v>80</v>
      </c>
      <c r="Y389" s="3" t="s">
        <v>81</v>
      </c>
    </row>
    <row r="390" spans="1:25">
      <c r="A390" s="3" t="s">
        <v>535</v>
      </c>
      <c r="B390" s="8">
        <v>46066</v>
      </c>
      <c r="C390" s="8">
        <v>46074</v>
      </c>
      <c r="D390" s="8">
        <v>46076</v>
      </c>
      <c r="E390" s="3" t="s">
        <v>70</v>
      </c>
      <c r="F390" s="3" t="s">
        <v>71</v>
      </c>
      <c r="G390" s="3" t="s">
        <v>72</v>
      </c>
      <c r="H390" s="3" t="s">
        <v>73</v>
      </c>
      <c r="I390" s="3" t="s">
        <v>74</v>
      </c>
      <c r="J390" s="3" t="s">
        <v>75</v>
      </c>
      <c r="K390" s="3" t="s">
        <v>76</v>
      </c>
      <c r="L390" s="3" t="s">
        <v>77</v>
      </c>
      <c r="M390" s="3" t="s">
        <v>78</v>
      </c>
      <c r="N390" s="3">
        <v>12.8</v>
      </c>
      <c r="O390" s="9">
        <v>12800</v>
      </c>
      <c r="P390" s="10">
        <v>1687</v>
      </c>
      <c r="Q390" s="10">
        <v>1282</v>
      </c>
      <c r="R390" s="11">
        <f>P390-Q390</f>
        <v>405</v>
      </c>
      <c r="S390" s="12">
        <f>R390/P390</f>
        <v>0.24007113218731477</v>
      </c>
      <c r="T390" s="3">
        <v>2</v>
      </c>
      <c r="U390" s="3">
        <v>2</v>
      </c>
      <c r="V390" s="3" t="str">
        <f>IF(U390&lt;=T390+1,"On-Time","Late")</f>
        <v>On-Time</v>
      </c>
      <c r="W390" s="3" t="s">
        <v>79</v>
      </c>
      <c r="X390" s="3" t="s">
        <v>80</v>
      </c>
      <c r="Y390" s="3" t="s">
        <v>94</v>
      </c>
    </row>
    <row r="391" spans="1:25">
      <c r="A391" s="3" t="s">
        <v>536</v>
      </c>
      <c r="B391" s="8">
        <v>46074</v>
      </c>
      <c r="C391" s="8">
        <v>46087</v>
      </c>
      <c r="D391" s="8">
        <v>46089</v>
      </c>
      <c r="E391" s="3" t="s">
        <v>103</v>
      </c>
      <c r="F391" s="3" t="s">
        <v>71</v>
      </c>
      <c r="G391" s="3" t="s">
        <v>132</v>
      </c>
      <c r="H391" s="3" t="s">
        <v>105</v>
      </c>
      <c r="I391" s="3" t="s">
        <v>133</v>
      </c>
      <c r="J391" s="3" t="s">
        <v>107</v>
      </c>
      <c r="K391" s="3" t="s">
        <v>113</v>
      </c>
      <c r="L391" s="3" t="s">
        <v>114</v>
      </c>
      <c r="M391" s="3" t="s">
        <v>143</v>
      </c>
      <c r="N391" s="3">
        <v>4.9000000000000004</v>
      </c>
      <c r="O391" s="9">
        <v>4900</v>
      </c>
      <c r="P391" s="10">
        <v>22054</v>
      </c>
      <c r="Q391" s="10">
        <v>17561</v>
      </c>
      <c r="R391" s="11">
        <f>P391-Q391</f>
        <v>4493</v>
      </c>
      <c r="S391" s="12">
        <f>R391/P391</f>
        <v>0.20372721501768387</v>
      </c>
      <c r="T391" s="3">
        <v>2</v>
      </c>
      <c r="U391" s="3">
        <v>2</v>
      </c>
      <c r="V391" s="3" t="str">
        <f>IF(U391&lt;=T391+1,"On-Time","Late")</f>
        <v>On-Time</v>
      </c>
      <c r="W391" s="3" t="s">
        <v>79</v>
      </c>
      <c r="X391" s="3" t="s">
        <v>116</v>
      </c>
      <c r="Y391" s="3" t="s">
        <v>94</v>
      </c>
    </row>
    <row r="392" spans="1:25">
      <c r="A392" s="3" t="s">
        <v>537</v>
      </c>
      <c r="B392" s="8">
        <v>46113</v>
      </c>
      <c r="C392" s="8">
        <v>46121</v>
      </c>
      <c r="D392" s="8">
        <v>46136</v>
      </c>
      <c r="E392" s="3" t="s">
        <v>83</v>
      </c>
      <c r="F392" s="3" t="s">
        <v>96</v>
      </c>
      <c r="G392" s="3" t="s">
        <v>163</v>
      </c>
      <c r="H392" s="3" t="s">
        <v>99</v>
      </c>
      <c r="I392" s="3" t="s">
        <v>164</v>
      </c>
      <c r="J392" s="3" t="s">
        <v>101</v>
      </c>
      <c r="K392" s="3" t="s">
        <v>165</v>
      </c>
      <c r="L392" s="3" t="s">
        <v>166</v>
      </c>
      <c r="M392" s="3" t="s">
        <v>167</v>
      </c>
      <c r="N392" s="3">
        <v>2</v>
      </c>
      <c r="O392" s="9">
        <v>24764</v>
      </c>
      <c r="P392" s="10">
        <v>6412</v>
      </c>
      <c r="Q392" s="10">
        <v>5318</v>
      </c>
      <c r="R392" s="11">
        <f>P392-Q392</f>
        <v>1094</v>
      </c>
      <c r="S392" s="12">
        <f>R392/P392</f>
        <v>0.17061759201497192</v>
      </c>
      <c r="T392" s="3">
        <v>15</v>
      </c>
      <c r="U392" s="3">
        <v>15</v>
      </c>
      <c r="V392" s="3" t="str">
        <f>IF(U392&lt;=T392+1,"On-Time","Late")</f>
        <v>On-Time</v>
      </c>
      <c r="W392" s="3" t="s">
        <v>79</v>
      </c>
      <c r="X392" s="3" t="s">
        <v>111</v>
      </c>
      <c r="Y392" s="3" t="s">
        <v>137</v>
      </c>
    </row>
    <row r="393" spans="1:25">
      <c r="A393" s="3" t="s">
        <v>538</v>
      </c>
      <c r="B393" s="8">
        <v>46060</v>
      </c>
      <c r="C393" s="8">
        <v>46070</v>
      </c>
      <c r="D393" s="8">
        <v>46088</v>
      </c>
      <c r="E393" s="3" t="s">
        <v>83</v>
      </c>
      <c r="F393" s="3" t="s">
        <v>84</v>
      </c>
      <c r="G393" s="3" t="s">
        <v>85</v>
      </c>
      <c r="H393" s="3" t="s">
        <v>86</v>
      </c>
      <c r="I393" s="3" t="s">
        <v>87</v>
      </c>
      <c r="J393" s="3" t="s">
        <v>88</v>
      </c>
      <c r="K393" s="3" t="s">
        <v>156</v>
      </c>
      <c r="L393" s="3" t="s">
        <v>157</v>
      </c>
      <c r="M393" s="3" t="s">
        <v>147</v>
      </c>
      <c r="N393" s="3">
        <v>1</v>
      </c>
      <c r="O393" s="9">
        <v>17652</v>
      </c>
      <c r="P393" s="10">
        <v>2605</v>
      </c>
      <c r="Q393" s="10">
        <v>2239</v>
      </c>
      <c r="R393" s="11">
        <f>P393-Q393</f>
        <v>366</v>
      </c>
      <c r="S393" s="12">
        <f>R393/P393</f>
        <v>0.14049904030710172</v>
      </c>
      <c r="T393" s="3">
        <v>18</v>
      </c>
      <c r="U393" s="3">
        <v>18</v>
      </c>
      <c r="V393" s="3" t="str">
        <f>IF(U393&lt;=T393+1,"On-Time","Late")</f>
        <v>On-Time</v>
      </c>
      <c r="W393" s="3" t="s">
        <v>79</v>
      </c>
      <c r="X393" s="3" t="s">
        <v>111</v>
      </c>
      <c r="Y393" s="3" t="s">
        <v>94</v>
      </c>
    </row>
    <row r="394" spans="1:25">
      <c r="A394" s="3" t="s">
        <v>539</v>
      </c>
      <c r="B394" s="8">
        <v>46143</v>
      </c>
      <c r="C394" s="8">
        <v>46157</v>
      </c>
      <c r="D394" s="8">
        <v>46172</v>
      </c>
      <c r="E394" s="3" t="s">
        <v>83</v>
      </c>
      <c r="F394" s="3" t="s">
        <v>96</v>
      </c>
      <c r="G394" s="3" t="s">
        <v>98</v>
      </c>
      <c r="H394" s="3" t="s">
        <v>99</v>
      </c>
      <c r="I394" s="3" t="s">
        <v>100</v>
      </c>
      <c r="J394" s="3" t="s">
        <v>101</v>
      </c>
      <c r="K394" s="3" t="s">
        <v>76</v>
      </c>
      <c r="L394" s="3" t="s">
        <v>77</v>
      </c>
      <c r="M394" s="3" t="s">
        <v>136</v>
      </c>
      <c r="N394" s="3">
        <v>6</v>
      </c>
      <c r="O394" s="9">
        <v>100518</v>
      </c>
      <c r="P394" s="10">
        <v>16254</v>
      </c>
      <c r="Q394" s="10">
        <v>13252</v>
      </c>
      <c r="R394" s="11">
        <f>P394-Q394</f>
        <v>3002</v>
      </c>
      <c r="S394" s="12">
        <f>R394/P394</f>
        <v>0.18469299864648703</v>
      </c>
      <c r="T394" s="3">
        <v>14</v>
      </c>
      <c r="U394" s="3">
        <v>15</v>
      </c>
      <c r="V394" s="3" t="str">
        <f>IF(U394&lt;=T394+1,"On-Time","Late")</f>
        <v>On-Time</v>
      </c>
      <c r="W394" s="3" t="s">
        <v>79</v>
      </c>
      <c r="X394" s="3" t="s">
        <v>80</v>
      </c>
      <c r="Y394" s="3" t="s">
        <v>137</v>
      </c>
    </row>
    <row r="395" spans="1:25">
      <c r="A395" s="3" t="s">
        <v>540</v>
      </c>
      <c r="B395" s="8">
        <v>46109</v>
      </c>
      <c r="C395" s="8">
        <v>46123</v>
      </c>
      <c r="D395" s="8">
        <v>46125</v>
      </c>
      <c r="E395" s="3" t="s">
        <v>103</v>
      </c>
      <c r="F395" s="3" t="s">
        <v>96</v>
      </c>
      <c r="G395" s="3" t="s">
        <v>104</v>
      </c>
      <c r="H395" s="3" t="s">
        <v>105</v>
      </c>
      <c r="I395" s="3" t="s">
        <v>106</v>
      </c>
      <c r="J395" s="3" t="s">
        <v>107</v>
      </c>
      <c r="K395" s="3" t="s">
        <v>113</v>
      </c>
      <c r="L395" s="3" t="s">
        <v>114</v>
      </c>
      <c r="M395" s="3" t="s">
        <v>115</v>
      </c>
      <c r="N395" s="3">
        <v>1.6</v>
      </c>
      <c r="O395" s="9">
        <v>1600</v>
      </c>
      <c r="P395" s="10">
        <v>7156</v>
      </c>
      <c r="Q395" s="10">
        <v>5765</v>
      </c>
      <c r="R395" s="11">
        <f>P395-Q395</f>
        <v>1391</v>
      </c>
      <c r="S395" s="12">
        <f>R395/P395</f>
        <v>0.19438233650083847</v>
      </c>
      <c r="T395" s="3">
        <v>2</v>
      </c>
      <c r="U395" s="3">
        <v>2</v>
      </c>
      <c r="V395" s="3" t="str">
        <f>IF(U395&lt;=T395+1,"On-Time","Late")</f>
        <v>On-Time</v>
      </c>
      <c r="W395" s="3" t="s">
        <v>79</v>
      </c>
      <c r="X395" s="3" t="s">
        <v>116</v>
      </c>
      <c r="Y395" s="3" t="s">
        <v>81</v>
      </c>
    </row>
    <row r="396" spans="1:25">
      <c r="A396" s="3" t="s">
        <v>541</v>
      </c>
      <c r="B396" s="8">
        <v>46107</v>
      </c>
      <c r="C396" s="8">
        <v>46114</v>
      </c>
      <c r="D396" s="8">
        <v>46132</v>
      </c>
      <c r="E396" s="3" t="s">
        <v>83</v>
      </c>
      <c r="F396" s="3" t="s">
        <v>96</v>
      </c>
      <c r="G396" s="3" t="s">
        <v>140</v>
      </c>
      <c r="H396" s="3" t="s">
        <v>86</v>
      </c>
      <c r="I396" s="3" t="s">
        <v>141</v>
      </c>
      <c r="J396" s="3" t="s">
        <v>88</v>
      </c>
      <c r="K396" s="3" t="s">
        <v>156</v>
      </c>
      <c r="L396" s="3" t="s">
        <v>157</v>
      </c>
      <c r="M396" s="3" t="s">
        <v>130</v>
      </c>
      <c r="N396" s="3">
        <v>4</v>
      </c>
      <c r="O396" s="9">
        <v>55988</v>
      </c>
      <c r="P396" s="10">
        <v>11372</v>
      </c>
      <c r="Q396" s="10">
        <v>9529</v>
      </c>
      <c r="R396" s="11">
        <f>P396-Q396</f>
        <v>1843</v>
      </c>
      <c r="S396" s="12">
        <f>R396/P396</f>
        <v>0.16206472036581077</v>
      </c>
      <c r="T396" s="3">
        <v>18</v>
      </c>
      <c r="U396" s="3">
        <v>18</v>
      </c>
      <c r="V396" s="3" t="str">
        <f>IF(U396&lt;=T396+1,"On-Time","Late")</f>
        <v>On-Time</v>
      </c>
      <c r="W396" s="3" t="s">
        <v>79</v>
      </c>
      <c r="X396" s="3" t="s">
        <v>111</v>
      </c>
      <c r="Y396" s="3" t="s">
        <v>117</v>
      </c>
    </row>
    <row r="397" spans="1:25">
      <c r="A397" s="3" t="s">
        <v>542</v>
      </c>
      <c r="B397" s="8">
        <v>46115</v>
      </c>
      <c r="C397" s="8">
        <v>46126</v>
      </c>
      <c r="D397" s="8">
        <v>46146</v>
      </c>
      <c r="E397" s="3" t="s">
        <v>83</v>
      </c>
      <c r="F397" s="3" t="s">
        <v>96</v>
      </c>
      <c r="G397" s="3" t="s">
        <v>126</v>
      </c>
      <c r="H397" s="3" t="s">
        <v>86</v>
      </c>
      <c r="I397" s="3" t="s">
        <v>127</v>
      </c>
      <c r="J397" s="3" t="s">
        <v>88</v>
      </c>
      <c r="K397" s="3" t="s">
        <v>128</v>
      </c>
      <c r="L397" s="3" t="s">
        <v>129</v>
      </c>
      <c r="M397" s="3" t="s">
        <v>147</v>
      </c>
      <c r="N397" s="3">
        <v>3</v>
      </c>
      <c r="O397" s="9">
        <v>59202</v>
      </c>
      <c r="P397" s="10">
        <v>9804</v>
      </c>
      <c r="Q397" s="10">
        <v>8153</v>
      </c>
      <c r="R397" s="11">
        <f>P397-Q397</f>
        <v>1651</v>
      </c>
      <c r="S397" s="12">
        <f>R397/P397</f>
        <v>0.16840065279477764</v>
      </c>
      <c r="T397" s="3">
        <v>19</v>
      </c>
      <c r="U397" s="3">
        <v>20</v>
      </c>
      <c r="V397" s="3" t="str">
        <f>IF(U397&lt;=T397+1,"On-Time","Late")</f>
        <v>On-Time</v>
      </c>
      <c r="W397" s="3" t="s">
        <v>79</v>
      </c>
      <c r="X397" s="3" t="s">
        <v>116</v>
      </c>
      <c r="Y397" s="3" t="s">
        <v>92</v>
      </c>
    </row>
    <row r="398" spans="1:25">
      <c r="A398" s="3" t="s">
        <v>543</v>
      </c>
      <c r="B398" s="8">
        <v>46113</v>
      </c>
      <c r="C398" s="8">
        <v>46123</v>
      </c>
      <c r="D398" s="8">
        <v>46125</v>
      </c>
      <c r="E398" s="3" t="s">
        <v>103</v>
      </c>
      <c r="F398" s="3" t="s">
        <v>149</v>
      </c>
      <c r="G398" s="3" t="s">
        <v>104</v>
      </c>
      <c r="H398" s="3" t="s">
        <v>105</v>
      </c>
      <c r="I398" s="3" t="s">
        <v>106</v>
      </c>
      <c r="J398" s="3" t="s">
        <v>107</v>
      </c>
      <c r="K398" s="3" t="s">
        <v>113</v>
      </c>
      <c r="L398" s="3" t="s">
        <v>114</v>
      </c>
      <c r="M398" s="3" t="s">
        <v>115</v>
      </c>
      <c r="N398" s="3">
        <v>3.1</v>
      </c>
      <c r="O398" s="9">
        <v>3100</v>
      </c>
      <c r="P398" s="10">
        <v>11860</v>
      </c>
      <c r="Q398" s="10">
        <v>9443</v>
      </c>
      <c r="R398" s="11">
        <f>P398-Q398</f>
        <v>2417</v>
      </c>
      <c r="S398" s="12">
        <f>R398/P398</f>
        <v>0.20379426644182125</v>
      </c>
      <c r="T398" s="3">
        <v>2</v>
      </c>
      <c r="U398" s="3">
        <v>2</v>
      </c>
      <c r="V398" s="3" t="str">
        <f>IF(U398&lt;=T398+1,"On-Time","Late")</f>
        <v>On-Time</v>
      </c>
      <c r="W398" s="3" t="s">
        <v>79</v>
      </c>
      <c r="X398" s="3" t="s">
        <v>116</v>
      </c>
      <c r="Y398" s="3" t="s">
        <v>117</v>
      </c>
    </row>
    <row r="399" spans="1:25">
      <c r="A399" s="3" t="s">
        <v>544</v>
      </c>
      <c r="B399" s="8">
        <v>46090</v>
      </c>
      <c r="C399" s="8">
        <v>46099</v>
      </c>
      <c r="D399" s="8">
        <v>46103</v>
      </c>
      <c r="E399" s="3" t="s">
        <v>103</v>
      </c>
      <c r="F399" s="3" t="s">
        <v>71</v>
      </c>
      <c r="G399" s="3" t="s">
        <v>85</v>
      </c>
      <c r="H399" s="3" t="s">
        <v>119</v>
      </c>
      <c r="I399" s="3" t="s">
        <v>120</v>
      </c>
      <c r="J399" s="3" t="s">
        <v>121</v>
      </c>
      <c r="K399" s="3" t="s">
        <v>108</v>
      </c>
      <c r="L399" s="3" t="s">
        <v>109</v>
      </c>
      <c r="M399" s="3" t="s">
        <v>143</v>
      </c>
      <c r="N399" s="3">
        <v>3.2</v>
      </c>
      <c r="O399" s="9">
        <v>3200</v>
      </c>
      <c r="P399" s="10">
        <v>13315</v>
      </c>
      <c r="Q399" s="10">
        <v>10189</v>
      </c>
      <c r="R399" s="11">
        <f>P399-Q399</f>
        <v>3126</v>
      </c>
      <c r="S399" s="12">
        <f>R399/P399</f>
        <v>0.23477281261734886</v>
      </c>
      <c r="T399" s="3">
        <v>3</v>
      </c>
      <c r="U399" s="3">
        <v>4</v>
      </c>
      <c r="V399" s="3" t="str">
        <f>IF(U399&lt;=T399+1,"On-Time","Late")</f>
        <v>On-Time</v>
      </c>
      <c r="W399" s="3" t="s">
        <v>79</v>
      </c>
      <c r="X399" s="3" t="s">
        <v>111</v>
      </c>
      <c r="Y399" s="3" t="s">
        <v>81</v>
      </c>
    </row>
    <row r="400" spans="1:25">
      <c r="A400" s="3" t="s">
        <v>545</v>
      </c>
      <c r="B400" s="8">
        <v>46032</v>
      </c>
      <c r="C400" s="8">
        <v>46038</v>
      </c>
      <c r="D400" s="8">
        <v>46058</v>
      </c>
      <c r="E400" s="3" t="s">
        <v>83</v>
      </c>
      <c r="F400" s="3" t="s">
        <v>84</v>
      </c>
      <c r="G400" s="3" t="s">
        <v>140</v>
      </c>
      <c r="H400" s="3" t="s">
        <v>86</v>
      </c>
      <c r="I400" s="3" t="s">
        <v>141</v>
      </c>
      <c r="J400" s="3" t="s">
        <v>88</v>
      </c>
      <c r="K400" s="3" t="s">
        <v>156</v>
      </c>
      <c r="L400" s="3" t="s">
        <v>157</v>
      </c>
      <c r="M400" s="3" t="s">
        <v>130</v>
      </c>
      <c r="N400" s="3">
        <v>4</v>
      </c>
      <c r="O400" s="9">
        <v>73876</v>
      </c>
      <c r="P400" s="10">
        <v>11988</v>
      </c>
      <c r="Q400" s="10">
        <v>10083</v>
      </c>
      <c r="R400" s="11">
        <f>P400-Q400</f>
        <v>1905</v>
      </c>
      <c r="S400" s="12">
        <f>R400/P400</f>
        <v>0.15890890890890891</v>
      </c>
      <c r="T400" s="3">
        <v>18</v>
      </c>
      <c r="U400" s="3">
        <v>20</v>
      </c>
      <c r="V400" s="3" t="str">
        <f>IF(U400&lt;=T400+1,"On-Time","Late")</f>
        <v>Late</v>
      </c>
      <c r="W400" s="3" t="s">
        <v>79</v>
      </c>
      <c r="X400" s="3" t="s">
        <v>111</v>
      </c>
      <c r="Y400" s="3" t="s">
        <v>137</v>
      </c>
    </row>
    <row r="401" spans="1:25">
      <c r="A401" s="3" t="s">
        <v>546</v>
      </c>
      <c r="B401" s="8">
        <v>46017</v>
      </c>
      <c r="C401" s="8">
        <v>46028</v>
      </c>
      <c r="D401" s="8">
        <v>46042</v>
      </c>
      <c r="E401" s="3" t="s">
        <v>83</v>
      </c>
      <c r="F401" s="3" t="s">
        <v>96</v>
      </c>
      <c r="G401" s="3" t="s">
        <v>98</v>
      </c>
      <c r="H401" s="3" t="s">
        <v>99</v>
      </c>
      <c r="I401" s="3" t="s">
        <v>100</v>
      </c>
      <c r="J401" s="3" t="s">
        <v>101</v>
      </c>
      <c r="K401" s="3" t="s">
        <v>165</v>
      </c>
      <c r="L401" s="3" t="s">
        <v>166</v>
      </c>
      <c r="M401" s="3" t="s">
        <v>130</v>
      </c>
      <c r="N401" s="3">
        <v>4</v>
      </c>
      <c r="O401" s="9">
        <v>57484</v>
      </c>
      <c r="P401" s="10">
        <v>12864</v>
      </c>
      <c r="Q401" s="10">
        <v>10662</v>
      </c>
      <c r="R401" s="11">
        <f>P401-Q401</f>
        <v>2202</v>
      </c>
      <c r="S401" s="12">
        <f>R401/P401</f>
        <v>0.17117537313432835</v>
      </c>
      <c r="T401" s="3">
        <v>14</v>
      </c>
      <c r="U401" s="3">
        <v>14</v>
      </c>
      <c r="V401" s="3" t="str">
        <f>IF(U401&lt;=T401+1,"On-Time","Late")</f>
        <v>On-Time</v>
      </c>
      <c r="W401" s="3" t="s">
        <v>79</v>
      </c>
      <c r="X401" s="3" t="s">
        <v>111</v>
      </c>
      <c r="Y401" s="3" t="s">
        <v>117</v>
      </c>
    </row>
    <row r="402" spans="1:25">
      <c r="A402" s="3" t="s">
        <v>547</v>
      </c>
      <c r="B402" s="8">
        <v>46044</v>
      </c>
      <c r="C402" s="8">
        <v>46057</v>
      </c>
      <c r="D402" s="8">
        <v>46075</v>
      </c>
      <c r="E402" s="3" t="s">
        <v>83</v>
      </c>
      <c r="F402" s="3" t="s">
        <v>84</v>
      </c>
      <c r="G402" s="3" t="s">
        <v>85</v>
      </c>
      <c r="H402" s="3" t="s">
        <v>86</v>
      </c>
      <c r="I402" s="3" t="s">
        <v>87</v>
      </c>
      <c r="J402" s="3" t="s">
        <v>88</v>
      </c>
      <c r="K402" s="3" t="s">
        <v>128</v>
      </c>
      <c r="L402" s="3" t="s">
        <v>129</v>
      </c>
      <c r="M402" s="3" t="s">
        <v>136</v>
      </c>
      <c r="N402" s="3">
        <v>3</v>
      </c>
      <c r="O402" s="9">
        <v>46329</v>
      </c>
      <c r="P402" s="10">
        <v>8316</v>
      </c>
      <c r="Q402" s="10">
        <v>6991</v>
      </c>
      <c r="R402" s="11">
        <f>P402-Q402</f>
        <v>1325</v>
      </c>
      <c r="S402" s="12">
        <f>R402/P402</f>
        <v>0.15933140933140932</v>
      </c>
      <c r="T402" s="3">
        <v>18</v>
      </c>
      <c r="U402" s="3">
        <v>18</v>
      </c>
      <c r="V402" s="3" t="str">
        <f>IF(U402&lt;=T402+1,"On-Time","Late")</f>
        <v>On-Time</v>
      </c>
      <c r="W402" s="3" t="s">
        <v>79</v>
      </c>
      <c r="X402" s="3" t="s">
        <v>116</v>
      </c>
      <c r="Y402" s="3" t="s">
        <v>117</v>
      </c>
    </row>
    <row r="403" spans="1:25">
      <c r="A403" s="3" t="s">
        <v>548</v>
      </c>
      <c r="B403" s="8">
        <v>46126</v>
      </c>
      <c r="C403" s="8">
        <v>46132</v>
      </c>
      <c r="D403" s="8">
        <v>46147</v>
      </c>
      <c r="E403" s="3" t="s">
        <v>83</v>
      </c>
      <c r="F403" s="3" t="s">
        <v>96</v>
      </c>
      <c r="G403" s="3" t="s">
        <v>163</v>
      </c>
      <c r="H403" s="3" t="s">
        <v>99</v>
      </c>
      <c r="I403" s="3" t="s">
        <v>164</v>
      </c>
      <c r="J403" s="3" t="s">
        <v>101</v>
      </c>
      <c r="K403" s="3" t="s">
        <v>76</v>
      </c>
      <c r="L403" s="3" t="s">
        <v>77</v>
      </c>
      <c r="M403" s="3" t="s">
        <v>167</v>
      </c>
      <c r="N403" s="3">
        <v>2</v>
      </c>
      <c r="O403" s="9">
        <v>34334</v>
      </c>
      <c r="P403" s="10">
        <v>6052</v>
      </c>
      <c r="Q403" s="10">
        <v>5196</v>
      </c>
      <c r="R403" s="11">
        <f>P403-Q403</f>
        <v>856</v>
      </c>
      <c r="S403" s="12">
        <f>R403/P403</f>
        <v>0.14144084600132187</v>
      </c>
      <c r="T403" s="3">
        <v>15</v>
      </c>
      <c r="U403" s="3">
        <v>15</v>
      </c>
      <c r="V403" s="3" t="str">
        <f>IF(U403&lt;=T403+1,"On-Time","Late")</f>
        <v>On-Time</v>
      </c>
      <c r="W403" s="3" t="s">
        <v>79</v>
      </c>
      <c r="X403" s="3" t="s">
        <v>80</v>
      </c>
      <c r="Y403" s="3" t="s">
        <v>92</v>
      </c>
    </row>
    <row r="404" spans="1:25">
      <c r="A404" s="3" t="s">
        <v>549</v>
      </c>
      <c r="B404" s="8">
        <v>46091</v>
      </c>
      <c r="C404" s="8">
        <v>46099</v>
      </c>
      <c r="D404" s="8">
        <v>46117</v>
      </c>
      <c r="E404" s="3" t="s">
        <v>83</v>
      </c>
      <c r="F404" s="3" t="s">
        <v>96</v>
      </c>
      <c r="G404" s="3" t="s">
        <v>85</v>
      </c>
      <c r="H404" s="3" t="s">
        <v>86</v>
      </c>
      <c r="I404" s="3" t="s">
        <v>87</v>
      </c>
      <c r="J404" s="3" t="s">
        <v>88</v>
      </c>
      <c r="K404" s="3" t="s">
        <v>89</v>
      </c>
      <c r="L404" s="3" t="s">
        <v>90</v>
      </c>
      <c r="M404" s="3" t="s">
        <v>147</v>
      </c>
      <c r="N404" s="3">
        <v>2</v>
      </c>
      <c r="O404" s="9">
        <v>19890</v>
      </c>
      <c r="P404" s="10">
        <v>5808</v>
      </c>
      <c r="Q404" s="10">
        <v>4957</v>
      </c>
      <c r="R404" s="11">
        <f>P404-Q404</f>
        <v>851</v>
      </c>
      <c r="S404" s="12">
        <f>R404/P404</f>
        <v>0.1465220385674931</v>
      </c>
      <c r="T404" s="3">
        <v>18</v>
      </c>
      <c r="U404" s="3">
        <v>18</v>
      </c>
      <c r="V404" s="3" t="str">
        <f>IF(U404&lt;=T404+1,"On-Time","Late")</f>
        <v>On-Time</v>
      </c>
      <c r="W404" s="3" t="s">
        <v>79</v>
      </c>
      <c r="X404" s="3" t="s">
        <v>80</v>
      </c>
      <c r="Y404" s="3" t="s">
        <v>94</v>
      </c>
    </row>
    <row r="405" spans="1:25">
      <c r="A405" s="3" t="s">
        <v>550</v>
      </c>
      <c r="B405" s="8">
        <v>46116</v>
      </c>
      <c r="C405" s="8">
        <v>46124</v>
      </c>
      <c r="D405" s="8">
        <v>46143</v>
      </c>
      <c r="E405" s="3" t="s">
        <v>83</v>
      </c>
      <c r="F405" s="3" t="s">
        <v>96</v>
      </c>
      <c r="G405" s="3" t="s">
        <v>140</v>
      </c>
      <c r="H405" s="3" t="s">
        <v>86</v>
      </c>
      <c r="I405" s="3" t="s">
        <v>141</v>
      </c>
      <c r="J405" s="3" t="s">
        <v>88</v>
      </c>
      <c r="K405" s="3" t="s">
        <v>89</v>
      </c>
      <c r="L405" s="3" t="s">
        <v>90</v>
      </c>
      <c r="M405" s="3" t="s">
        <v>147</v>
      </c>
      <c r="N405" s="3">
        <v>1</v>
      </c>
      <c r="O405" s="9">
        <v>19134</v>
      </c>
      <c r="P405" s="10">
        <v>2496</v>
      </c>
      <c r="Q405" s="10">
        <v>2118</v>
      </c>
      <c r="R405" s="11">
        <f>P405-Q405</f>
        <v>378</v>
      </c>
      <c r="S405" s="12">
        <f>R405/P405</f>
        <v>0.15144230769230768</v>
      </c>
      <c r="T405" s="3">
        <v>18</v>
      </c>
      <c r="U405" s="3">
        <v>19</v>
      </c>
      <c r="V405" s="3" t="str">
        <f>IF(U405&lt;=T405+1,"On-Time","Late")</f>
        <v>On-Time</v>
      </c>
      <c r="W405" s="3" t="s">
        <v>79</v>
      </c>
      <c r="X405" s="3" t="s">
        <v>80</v>
      </c>
      <c r="Y405" s="3" t="s">
        <v>92</v>
      </c>
    </row>
    <row r="406" spans="1:25">
      <c r="A406" s="3" t="s">
        <v>551</v>
      </c>
      <c r="B406" s="8">
        <v>46115</v>
      </c>
      <c r="C406" s="8">
        <v>46120</v>
      </c>
      <c r="D406" s="8">
        <v>46124</v>
      </c>
      <c r="E406" s="3" t="s">
        <v>103</v>
      </c>
      <c r="F406" s="3" t="s">
        <v>96</v>
      </c>
      <c r="G406" s="3" t="s">
        <v>150</v>
      </c>
      <c r="H406" s="3" t="s">
        <v>119</v>
      </c>
      <c r="I406" s="3" t="s">
        <v>151</v>
      </c>
      <c r="J406" s="3" t="s">
        <v>121</v>
      </c>
      <c r="K406" s="3" t="s">
        <v>160</v>
      </c>
      <c r="L406" s="3" t="s">
        <v>161</v>
      </c>
      <c r="M406" s="3" t="s">
        <v>115</v>
      </c>
      <c r="N406" s="3">
        <v>4.8</v>
      </c>
      <c r="O406" s="9">
        <v>4800</v>
      </c>
      <c r="P406" s="10">
        <v>20932</v>
      </c>
      <c r="Q406" s="10">
        <v>16438</v>
      </c>
      <c r="R406" s="11">
        <f>P406-Q406</f>
        <v>4494</v>
      </c>
      <c r="S406" s="12">
        <f>R406/P406</f>
        <v>0.21469520351614751</v>
      </c>
      <c r="T406" s="3">
        <v>3</v>
      </c>
      <c r="U406" s="3">
        <v>4</v>
      </c>
      <c r="V406" s="3" t="str">
        <f>IF(U406&lt;=T406+1,"On-Time","Late")</f>
        <v>On-Time</v>
      </c>
      <c r="W406" s="3" t="s">
        <v>79</v>
      </c>
      <c r="X406" s="3" t="s">
        <v>116</v>
      </c>
      <c r="Y406" s="3" t="s">
        <v>94</v>
      </c>
    </row>
    <row r="407" spans="1:25">
      <c r="A407" s="3" t="s">
        <v>552</v>
      </c>
      <c r="B407" s="8">
        <v>46046</v>
      </c>
      <c r="C407" s="8">
        <v>46060</v>
      </c>
      <c r="D407" s="8">
        <v>46079</v>
      </c>
      <c r="E407" s="3" t="s">
        <v>83</v>
      </c>
      <c r="F407" s="3" t="s">
        <v>96</v>
      </c>
      <c r="G407" s="3" t="s">
        <v>140</v>
      </c>
      <c r="H407" s="3" t="s">
        <v>86</v>
      </c>
      <c r="I407" s="3" t="s">
        <v>141</v>
      </c>
      <c r="J407" s="3" t="s">
        <v>88</v>
      </c>
      <c r="K407" s="3" t="s">
        <v>156</v>
      </c>
      <c r="L407" s="3" t="s">
        <v>157</v>
      </c>
      <c r="M407" s="3" t="s">
        <v>91</v>
      </c>
      <c r="N407" s="3">
        <v>6</v>
      </c>
      <c r="O407" s="9">
        <v>125082</v>
      </c>
      <c r="P407" s="10">
        <v>15942</v>
      </c>
      <c r="Q407" s="10">
        <v>13514</v>
      </c>
      <c r="R407" s="11">
        <f>P407-Q407</f>
        <v>2428</v>
      </c>
      <c r="S407" s="12">
        <f>R407/P407</f>
        <v>0.15230209509471834</v>
      </c>
      <c r="T407" s="3">
        <v>18</v>
      </c>
      <c r="U407" s="3">
        <v>19</v>
      </c>
      <c r="V407" s="3" t="str">
        <f>IF(U407&lt;=T407+1,"On-Time","Late")</f>
        <v>On-Time</v>
      </c>
      <c r="W407" s="3" t="s">
        <v>79</v>
      </c>
      <c r="X407" s="3" t="s">
        <v>111</v>
      </c>
      <c r="Y407" s="3" t="s">
        <v>92</v>
      </c>
    </row>
    <row r="408" spans="1:25">
      <c r="A408" s="3" t="s">
        <v>553</v>
      </c>
      <c r="B408" s="8">
        <v>46145</v>
      </c>
      <c r="C408" s="8">
        <v>46159</v>
      </c>
      <c r="D408" s="8">
        <v>46179</v>
      </c>
      <c r="E408" s="3" t="s">
        <v>83</v>
      </c>
      <c r="F408" s="3" t="s">
        <v>84</v>
      </c>
      <c r="G408" s="3" t="s">
        <v>126</v>
      </c>
      <c r="H408" s="3" t="s">
        <v>86</v>
      </c>
      <c r="I408" s="3" t="s">
        <v>127</v>
      </c>
      <c r="J408" s="3" t="s">
        <v>88</v>
      </c>
      <c r="K408" s="3" t="s">
        <v>128</v>
      </c>
      <c r="L408" s="3" t="s">
        <v>129</v>
      </c>
      <c r="M408" s="3" t="s">
        <v>91</v>
      </c>
      <c r="N408" s="3">
        <v>2</v>
      </c>
      <c r="O408" s="9">
        <v>27692</v>
      </c>
      <c r="P408" s="10">
        <v>5340</v>
      </c>
      <c r="Q408" s="10">
        <v>4353</v>
      </c>
      <c r="R408" s="11">
        <f>P408-Q408</f>
        <v>987</v>
      </c>
      <c r="S408" s="12">
        <f>R408/P408</f>
        <v>0.18483146067415732</v>
      </c>
      <c r="T408" s="3">
        <v>19</v>
      </c>
      <c r="U408" s="3">
        <v>20</v>
      </c>
      <c r="V408" s="3" t="str">
        <f>IF(U408&lt;=T408+1,"On-Time","Late")</f>
        <v>On-Time</v>
      </c>
      <c r="W408" s="3" t="s">
        <v>79</v>
      </c>
      <c r="X408" s="3" t="s">
        <v>116</v>
      </c>
      <c r="Y408" s="3" t="s">
        <v>81</v>
      </c>
    </row>
    <row r="409" spans="1:25">
      <c r="A409" s="3" t="s">
        <v>554</v>
      </c>
      <c r="B409" s="8">
        <v>46018</v>
      </c>
      <c r="C409" s="8">
        <v>46028</v>
      </c>
      <c r="D409" s="8">
        <v>46032</v>
      </c>
      <c r="E409" s="3" t="s">
        <v>103</v>
      </c>
      <c r="F409" s="3" t="s">
        <v>149</v>
      </c>
      <c r="G409" s="3" t="s">
        <v>150</v>
      </c>
      <c r="H409" s="3" t="s">
        <v>119</v>
      </c>
      <c r="I409" s="3" t="s">
        <v>151</v>
      </c>
      <c r="J409" s="3" t="s">
        <v>121</v>
      </c>
      <c r="K409" s="3" t="s">
        <v>160</v>
      </c>
      <c r="L409" s="3" t="s">
        <v>161</v>
      </c>
      <c r="M409" s="3" t="s">
        <v>143</v>
      </c>
      <c r="N409" s="3">
        <v>3.4</v>
      </c>
      <c r="O409" s="9">
        <v>3400</v>
      </c>
      <c r="P409" s="10">
        <v>16870</v>
      </c>
      <c r="Q409" s="10">
        <v>13021</v>
      </c>
      <c r="R409" s="11">
        <f>P409-Q409</f>
        <v>3849</v>
      </c>
      <c r="S409" s="12">
        <f>R409/P409</f>
        <v>0.22815649081209247</v>
      </c>
      <c r="T409" s="3">
        <v>3</v>
      </c>
      <c r="U409" s="3">
        <v>4</v>
      </c>
      <c r="V409" s="3" t="str">
        <f>IF(U409&lt;=T409+1,"On-Time","Late")</f>
        <v>On-Time</v>
      </c>
      <c r="W409" s="3" t="s">
        <v>79</v>
      </c>
      <c r="X409" s="3" t="s">
        <v>116</v>
      </c>
      <c r="Y409" s="3" t="s">
        <v>137</v>
      </c>
    </row>
    <row r="410" spans="1:25">
      <c r="A410" s="3" t="s">
        <v>555</v>
      </c>
      <c r="B410" s="8">
        <v>46153</v>
      </c>
      <c r="C410" s="8">
        <v>46163</v>
      </c>
      <c r="D410" s="8">
        <v>46166</v>
      </c>
      <c r="E410" s="3" t="s">
        <v>103</v>
      </c>
      <c r="F410" s="3" t="s">
        <v>96</v>
      </c>
      <c r="G410" s="3" t="s">
        <v>150</v>
      </c>
      <c r="H410" s="3" t="s">
        <v>119</v>
      </c>
      <c r="I410" s="3" t="s">
        <v>151</v>
      </c>
      <c r="J410" s="3" t="s">
        <v>121</v>
      </c>
      <c r="K410" s="3" t="s">
        <v>160</v>
      </c>
      <c r="L410" s="3" t="s">
        <v>161</v>
      </c>
      <c r="M410" s="3" t="s">
        <v>115</v>
      </c>
      <c r="N410" s="3">
        <v>1.7</v>
      </c>
      <c r="O410" s="9">
        <v>1700</v>
      </c>
      <c r="P410" s="10">
        <v>6317</v>
      </c>
      <c r="Q410" s="10">
        <v>4846</v>
      </c>
      <c r="R410" s="11">
        <f>P410-Q410</f>
        <v>1471</v>
      </c>
      <c r="S410" s="12">
        <f>R410/P410</f>
        <v>0.23286370112395124</v>
      </c>
      <c r="T410" s="3">
        <v>3</v>
      </c>
      <c r="U410" s="3">
        <v>3</v>
      </c>
      <c r="V410" s="3" t="str">
        <f>IF(U410&lt;=T410+1,"On-Time","Late")</f>
        <v>On-Time</v>
      </c>
      <c r="W410" s="3" t="s">
        <v>79</v>
      </c>
      <c r="X410" s="3" t="s">
        <v>116</v>
      </c>
      <c r="Y410" s="3" t="s">
        <v>137</v>
      </c>
    </row>
    <row r="411" spans="1:25">
      <c r="A411" s="3" t="s">
        <v>556</v>
      </c>
      <c r="B411" s="8">
        <v>46047</v>
      </c>
      <c r="C411" s="8">
        <v>46054</v>
      </c>
      <c r="D411" s="8">
        <v>46068</v>
      </c>
      <c r="E411" s="3" t="s">
        <v>83</v>
      </c>
      <c r="F411" s="3" t="s">
        <v>84</v>
      </c>
      <c r="G411" s="3" t="s">
        <v>98</v>
      </c>
      <c r="H411" s="3" t="s">
        <v>99</v>
      </c>
      <c r="I411" s="3" t="s">
        <v>100</v>
      </c>
      <c r="J411" s="3" t="s">
        <v>101</v>
      </c>
      <c r="K411" s="3" t="s">
        <v>76</v>
      </c>
      <c r="L411" s="3" t="s">
        <v>77</v>
      </c>
      <c r="M411" s="3" t="s">
        <v>147</v>
      </c>
      <c r="N411" s="3">
        <v>1</v>
      </c>
      <c r="O411" s="9">
        <v>19575</v>
      </c>
      <c r="P411" s="10">
        <v>3032</v>
      </c>
      <c r="Q411" s="10">
        <v>2501</v>
      </c>
      <c r="R411" s="11">
        <f>P411-Q411</f>
        <v>531</v>
      </c>
      <c r="S411" s="12">
        <f>R411/P411</f>
        <v>0.17513192612137204</v>
      </c>
      <c r="T411" s="3">
        <v>14</v>
      </c>
      <c r="U411" s="3">
        <v>14</v>
      </c>
      <c r="V411" s="3" t="str">
        <f>IF(U411&lt;=T411+1,"On-Time","Late")</f>
        <v>On-Time</v>
      </c>
      <c r="W411" s="3" t="s">
        <v>79</v>
      </c>
      <c r="X411" s="3" t="s">
        <v>80</v>
      </c>
      <c r="Y411" s="3" t="s">
        <v>94</v>
      </c>
    </row>
    <row r="412" spans="1:25">
      <c r="A412" s="6" t="s">
        <v>557</v>
      </c>
      <c r="P412" s="13">
        <f>SUM(P2:P411)</f>
        <v>3670542</v>
      </c>
      <c r="Q412" s="13">
        <f>SUM(Q2:Q411)</f>
        <v>2978555</v>
      </c>
      <c r="R412" s="13">
        <f>SUM(R2:R411)</f>
        <v>691987</v>
      </c>
      <c r="S412" s="14">
        <f>R412/P412</f>
        <v>0.18852447404225317</v>
      </c>
    </row>
  </sheetData>
  <autoFilter ref="A1:Y41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zoomScaleNormal="100" workbookViewId="0"/>
  </sheetViews>
  <sheetFormatPr defaultColWidth="8.7109375" defaultRowHeight="15"/>
  <cols>
    <col min="1" max="2" width="24" customWidth="1"/>
    <col min="3" max="3" width="12" customWidth="1"/>
    <col min="4" max="4" width="18" customWidth="1"/>
    <col min="5" max="5" width="14" customWidth="1"/>
    <col min="6" max="6" width="18" customWidth="1"/>
    <col min="7" max="7" width="52" customWidth="1"/>
  </cols>
  <sheetData>
    <row r="1" spans="1:7" ht="19.7">
      <c r="A1" s="1" t="s">
        <v>558</v>
      </c>
    </row>
    <row r="3" spans="1:7" ht="23.85">
      <c r="A3" s="7" t="s">
        <v>55</v>
      </c>
      <c r="B3" s="7" t="s">
        <v>56</v>
      </c>
      <c r="C3" s="7" t="s">
        <v>559</v>
      </c>
      <c r="D3" s="7" t="s">
        <v>560</v>
      </c>
      <c r="E3" s="7" t="s">
        <v>561</v>
      </c>
      <c r="F3" s="7" t="s">
        <v>562</v>
      </c>
      <c r="G3" s="7" t="s">
        <v>563</v>
      </c>
    </row>
    <row r="4" spans="1:7">
      <c r="A4" s="15" t="s">
        <v>156</v>
      </c>
      <c r="B4" s="15" t="s">
        <v>157</v>
      </c>
      <c r="C4" s="15" t="s">
        <v>564</v>
      </c>
      <c r="D4" s="15" t="s">
        <v>111</v>
      </c>
      <c r="E4" s="15" t="s">
        <v>565</v>
      </c>
      <c r="F4" s="15">
        <v>45</v>
      </c>
      <c r="G4" s="15" t="s">
        <v>566</v>
      </c>
    </row>
    <row r="5" spans="1:7">
      <c r="A5" s="15" t="s">
        <v>76</v>
      </c>
      <c r="B5" s="15" t="s">
        <v>77</v>
      </c>
      <c r="C5" s="15" t="s">
        <v>567</v>
      </c>
      <c r="D5" s="15" t="s">
        <v>80</v>
      </c>
      <c r="E5" s="15" t="s">
        <v>568</v>
      </c>
      <c r="F5" s="15">
        <v>30</v>
      </c>
      <c r="G5" s="15" t="s">
        <v>569</v>
      </c>
    </row>
    <row r="6" spans="1:7">
      <c r="A6" s="15" t="s">
        <v>165</v>
      </c>
      <c r="B6" s="15" t="s">
        <v>166</v>
      </c>
      <c r="C6" s="15" t="s">
        <v>570</v>
      </c>
      <c r="D6" s="15" t="s">
        <v>111</v>
      </c>
      <c r="E6" s="15" t="s">
        <v>571</v>
      </c>
      <c r="F6" s="15">
        <v>30</v>
      </c>
      <c r="G6" s="15" t="s">
        <v>572</v>
      </c>
    </row>
    <row r="7" spans="1:7">
      <c r="A7" s="15" t="s">
        <v>160</v>
      </c>
      <c r="B7" s="15" t="s">
        <v>161</v>
      </c>
      <c r="C7" s="15" t="s">
        <v>567</v>
      </c>
      <c r="D7" s="15" t="s">
        <v>116</v>
      </c>
      <c r="E7" s="15" t="s">
        <v>573</v>
      </c>
      <c r="F7" s="15">
        <v>30</v>
      </c>
      <c r="G7" s="15" t="s">
        <v>574</v>
      </c>
    </row>
    <row r="8" spans="1:7">
      <c r="A8" s="15" t="s">
        <v>113</v>
      </c>
      <c r="B8" s="15" t="s">
        <v>114</v>
      </c>
      <c r="C8" s="15" t="s">
        <v>575</v>
      </c>
      <c r="D8" s="15" t="s">
        <v>116</v>
      </c>
      <c r="E8" s="15" t="s">
        <v>576</v>
      </c>
      <c r="F8" s="15">
        <v>15</v>
      </c>
      <c r="G8" s="15" t="s">
        <v>577</v>
      </c>
    </row>
    <row r="9" spans="1:7">
      <c r="A9" s="15" t="s">
        <v>123</v>
      </c>
      <c r="B9" s="15" t="s">
        <v>124</v>
      </c>
      <c r="C9" s="15" t="s">
        <v>567</v>
      </c>
      <c r="D9" s="15" t="s">
        <v>80</v>
      </c>
      <c r="E9" s="15" t="s">
        <v>568</v>
      </c>
      <c r="F9" s="15">
        <v>45</v>
      </c>
      <c r="G9" s="15" t="s">
        <v>578</v>
      </c>
    </row>
    <row r="10" spans="1:7">
      <c r="A10" s="15" t="s">
        <v>108</v>
      </c>
      <c r="B10" s="15" t="s">
        <v>109</v>
      </c>
      <c r="C10" s="15" t="s">
        <v>570</v>
      </c>
      <c r="D10" s="15" t="s">
        <v>111</v>
      </c>
      <c r="E10" s="15" t="s">
        <v>579</v>
      </c>
      <c r="F10" s="15">
        <v>60</v>
      </c>
      <c r="G10" s="15" t="s">
        <v>580</v>
      </c>
    </row>
    <row r="11" spans="1:7">
      <c r="A11" s="15" t="s">
        <v>89</v>
      </c>
      <c r="B11" s="15" t="s">
        <v>90</v>
      </c>
      <c r="C11" s="15" t="s">
        <v>575</v>
      </c>
      <c r="D11" s="15" t="s">
        <v>80</v>
      </c>
      <c r="E11" s="15" t="s">
        <v>581</v>
      </c>
      <c r="F11" s="15">
        <v>30</v>
      </c>
      <c r="G11" s="15" t="s">
        <v>582</v>
      </c>
    </row>
    <row r="12" spans="1:7">
      <c r="A12" s="15" t="s">
        <v>128</v>
      </c>
      <c r="B12" s="15" t="s">
        <v>129</v>
      </c>
      <c r="C12" s="15" t="s">
        <v>564</v>
      </c>
      <c r="D12" s="15" t="s">
        <v>116</v>
      </c>
      <c r="E12" s="15" t="s">
        <v>571</v>
      </c>
      <c r="F12" s="15">
        <v>30</v>
      </c>
      <c r="G12" s="15" t="s">
        <v>583</v>
      </c>
    </row>
    <row r="13" spans="1:7">
      <c r="A13" s="15" t="s">
        <v>152</v>
      </c>
      <c r="B13" s="15" t="s">
        <v>153</v>
      </c>
      <c r="C13" s="15" t="s">
        <v>564</v>
      </c>
      <c r="D13" s="15" t="s">
        <v>111</v>
      </c>
      <c r="E13" s="15" t="s">
        <v>576</v>
      </c>
      <c r="F13" s="15">
        <v>30</v>
      </c>
      <c r="G13" s="15" t="s">
        <v>584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zoomScaleNormal="100" workbookViewId="0"/>
  </sheetViews>
  <sheetFormatPr defaultColWidth="8.7109375" defaultRowHeight="15"/>
  <cols>
    <col min="1" max="1" width="12" customWidth="1"/>
    <col min="2" max="2" width="24" customWidth="1"/>
    <col min="3" max="4" width="13" customWidth="1"/>
    <col min="5" max="5" width="14" customWidth="1"/>
    <col min="6" max="6" width="10" customWidth="1"/>
    <col min="7" max="7" width="13" customWidth="1"/>
  </cols>
  <sheetData>
    <row r="1" spans="1:7" ht="19.7">
      <c r="A1" s="1" t="s">
        <v>585</v>
      </c>
    </row>
    <row r="3" spans="1:7">
      <c r="A3" s="7" t="s">
        <v>586</v>
      </c>
      <c r="B3" s="7" t="s">
        <v>55</v>
      </c>
      <c r="C3" s="7" t="s">
        <v>587</v>
      </c>
      <c r="D3" s="7" t="s">
        <v>588</v>
      </c>
      <c r="E3" s="7" t="s">
        <v>589</v>
      </c>
      <c r="F3" s="7" t="s">
        <v>7</v>
      </c>
      <c r="G3" s="7" t="s">
        <v>590</v>
      </c>
    </row>
    <row r="4" spans="1:7">
      <c r="A4" s="15" t="s">
        <v>591</v>
      </c>
      <c r="B4" s="15" t="s">
        <v>76</v>
      </c>
      <c r="C4" s="16">
        <v>46073</v>
      </c>
      <c r="D4" s="16">
        <v>46103</v>
      </c>
      <c r="E4" s="17">
        <v>340000</v>
      </c>
      <c r="F4" s="15" t="s">
        <v>592</v>
      </c>
      <c r="G4" s="16"/>
    </row>
    <row r="5" spans="1:7">
      <c r="A5" s="15" t="s">
        <v>593</v>
      </c>
      <c r="B5" s="15" t="s">
        <v>76</v>
      </c>
      <c r="C5" s="16">
        <v>46093</v>
      </c>
      <c r="D5" s="16">
        <v>46123</v>
      </c>
      <c r="E5" s="17">
        <v>76000</v>
      </c>
      <c r="F5" s="15" t="s">
        <v>592</v>
      </c>
      <c r="G5" s="16"/>
    </row>
    <row r="6" spans="1:7">
      <c r="A6" s="15" t="s">
        <v>594</v>
      </c>
      <c r="B6" s="15" t="s">
        <v>108</v>
      </c>
      <c r="C6" s="16">
        <v>46086</v>
      </c>
      <c r="D6" s="16">
        <v>46146</v>
      </c>
      <c r="E6" s="17">
        <v>145000</v>
      </c>
      <c r="F6" s="15" t="s">
        <v>592</v>
      </c>
      <c r="G6" s="16"/>
    </row>
    <row r="7" spans="1:7">
      <c r="A7" s="15" t="s">
        <v>595</v>
      </c>
      <c r="B7" s="15" t="s">
        <v>156</v>
      </c>
      <c r="C7" s="16">
        <v>46140</v>
      </c>
      <c r="D7" s="16">
        <v>46185</v>
      </c>
      <c r="E7" s="17">
        <v>180000</v>
      </c>
      <c r="F7" s="15" t="s">
        <v>592</v>
      </c>
      <c r="G7" s="16"/>
    </row>
    <row r="8" spans="1:7">
      <c r="A8" s="15" t="s">
        <v>596</v>
      </c>
      <c r="B8" s="15" t="s">
        <v>123</v>
      </c>
      <c r="C8" s="16">
        <v>46081</v>
      </c>
      <c r="D8" s="16">
        <v>46126</v>
      </c>
      <c r="E8" s="17">
        <v>62000</v>
      </c>
      <c r="F8" s="15" t="s">
        <v>592</v>
      </c>
      <c r="G8" s="16"/>
    </row>
    <row r="9" spans="1:7">
      <c r="A9" s="15" t="s">
        <v>597</v>
      </c>
      <c r="B9" s="15" t="s">
        <v>113</v>
      </c>
      <c r="C9" s="16">
        <v>46130</v>
      </c>
      <c r="D9" s="16">
        <v>46145</v>
      </c>
      <c r="E9" s="17">
        <v>54000</v>
      </c>
      <c r="F9" s="15" t="s">
        <v>592</v>
      </c>
      <c r="G9" s="16"/>
    </row>
    <row r="10" spans="1:7">
      <c r="A10" s="15" t="s">
        <v>598</v>
      </c>
      <c r="B10" s="15" t="s">
        <v>165</v>
      </c>
      <c r="C10" s="16">
        <v>46144</v>
      </c>
      <c r="D10" s="16">
        <v>46174</v>
      </c>
      <c r="E10" s="17">
        <v>96000</v>
      </c>
      <c r="F10" s="15" t="s">
        <v>592</v>
      </c>
      <c r="G10" s="16"/>
    </row>
    <row r="11" spans="1:7">
      <c r="A11" s="15" t="s">
        <v>599</v>
      </c>
      <c r="B11" s="15" t="s">
        <v>160</v>
      </c>
      <c r="C11" s="16">
        <v>46157</v>
      </c>
      <c r="D11" s="16">
        <v>46187</v>
      </c>
      <c r="E11" s="17">
        <v>88000</v>
      </c>
      <c r="F11" s="15" t="s">
        <v>592</v>
      </c>
      <c r="G11" s="16"/>
    </row>
    <row r="12" spans="1:7">
      <c r="A12" s="15" t="s">
        <v>600</v>
      </c>
      <c r="B12" s="15" t="s">
        <v>165</v>
      </c>
      <c r="C12" s="16">
        <v>46151</v>
      </c>
      <c r="D12" s="16">
        <v>46181</v>
      </c>
      <c r="E12" s="17">
        <v>41000</v>
      </c>
      <c r="F12" s="15" t="s">
        <v>592</v>
      </c>
      <c r="G12" s="16"/>
    </row>
    <row r="13" spans="1:7">
      <c r="A13" s="15" t="s">
        <v>601</v>
      </c>
      <c r="B13" s="15" t="s">
        <v>128</v>
      </c>
      <c r="C13" s="16">
        <v>46162</v>
      </c>
      <c r="D13" s="16">
        <v>46192</v>
      </c>
      <c r="E13" s="17">
        <v>73000</v>
      </c>
      <c r="F13" s="15" t="s">
        <v>592</v>
      </c>
      <c r="G13" s="16"/>
    </row>
    <row r="14" spans="1:7">
      <c r="A14" s="15" t="s">
        <v>602</v>
      </c>
      <c r="B14" s="15" t="s">
        <v>89</v>
      </c>
      <c r="C14" s="16">
        <v>46168</v>
      </c>
      <c r="D14" s="16">
        <v>46198</v>
      </c>
      <c r="E14" s="17">
        <v>58000</v>
      </c>
      <c r="F14" s="15" t="s">
        <v>592</v>
      </c>
      <c r="G14" s="16"/>
    </row>
    <row r="15" spans="1:7">
      <c r="A15" s="15" t="s">
        <v>603</v>
      </c>
      <c r="B15" s="15" t="s">
        <v>156</v>
      </c>
      <c r="C15" s="16">
        <v>46037</v>
      </c>
      <c r="D15" s="16">
        <v>46082</v>
      </c>
      <c r="E15" s="17">
        <v>210000</v>
      </c>
      <c r="F15" s="15" t="s">
        <v>604</v>
      </c>
      <c r="G15" s="16">
        <v>46079</v>
      </c>
    </row>
    <row r="16" spans="1:7">
      <c r="A16" s="15" t="s">
        <v>605</v>
      </c>
      <c r="B16" s="15" t="s">
        <v>160</v>
      </c>
      <c r="C16" s="16">
        <v>46050</v>
      </c>
      <c r="D16" s="16">
        <v>46080</v>
      </c>
      <c r="E16" s="17">
        <v>92000</v>
      </c>
      <c r="F16" s="15" t="s">
        <v>604</v>
      </c>
      <c r="G16" s="16">
        <v>46073</v>
      </c>
    </row>
    <row r="17" spans="1:7">
      <c r="A17" s="15" t="s">
        <v>606</v>
      </c>
      <c r="B17" s="15" t="s">
        <v>165</v>
      </c>
      <c r="C17" s="16">
        <v>46063</v>
      </c>
      <c r="D17" s="16">
        <v>46093</v>
      </c>
      <c r="E17" s="17">
        <v>88000</v>
      </c>
      <c r="F17" s="15" t="s">
        <v>604</v>
      </c>
      <c r="G17" s="16">
        <v>46086</v>
      </c>
    </row>
    <row r="18" spans="1:7">
      <c r="A18" s="15" t="s">
        <v>607</v>
      </c>
      <c r="B18" s="15" t="s">
        <v>113</v>
      </c>
      <c r="C18" s="16">
        <v>46075</v>
      </c>
      <c r="D18" s="16">
        <v>46090</v>
      </c>
      <c r="E18" s="17">
        <v>47000</v>
      </c>
      <c r="F18" s="15" t="s">
        <v>604</v>
      </c>
      <c r="G18" s="16">
        <v>46089</v>
      </c>
    </row>
    <row r="19" spans="1:7">
      <c r="A19" s="15" t="s">
        <v>608</v>
      </c>
      <c r="B19" s="15" t="s">
        <v>76</v>
      </c>
      <c r="C19" s="16">
        <v>46058</v>
      </c>
      <c r="D19" s="16">
        <v>46088</v>
      </c>
      <c r="E19" s="17">
        <v>81000</v>
      </c>
      <c r="F19" s="15" t="s">
        <v>604</v>
      </c>
      <c r="G19" s="16">
        <v>46111</v>
      </c>
    </row>
    <row r="20" spans="1:7">
      <c r="A20" s="15" t="s">
        <v>609</v>
      </c>
      <c r="B20" s="15" t="s">
        <v>123</v>
      </c>
      <c r="C20" s="16">
        <v>46052</v>
      </c>
      <c r="D20" s="16">
        <v>46096</v>
      </c>
      <c r="E20" s="17">
        <v>55000</v>
      </c>
      <c r="F20" s="15" t="s">
        <v>604</v>
      </c>
      <c r="G20" s="16">
        <v>46091</v>
      </c>
    </row>
    <row r="21" spans="1:7">
      <c r="A21" s="15" t="s">
        <v>610</v>
      </c>
      <c r="B21" s="15" t="s">
        <v>108</v>
      </c>
      <c r="C21" s="16">
        <v>46099</v>
      </c>
      <c r="D21" s="16">
        <v>46159</v>
      </c>
      <c r="E21" s="17">
        <v>132000</v>
      </c>
      <c r="F21" s="15" t="s">
        <v>604</v>
      </c>
      <c r="G21" s="16">
        <v>46154</v>
      </c>
    </row>
    <row r="22" spans="1:7">
      <c r="A22" s="15" t="s">
        <v>611</v>
      </c>
      <c r="B22" s="15" t="s">
        <v>152</v>
      </c>
      <c r="C22" s="16">
        <v>46114</v>
      </c>
      <c r="D22" s="16">
        <v>46144</v>
      </c>
      <c r="E22" s="17">
        <v>39000</v>
      </c>
      <c r="F22" s="15" t="s">
        <v>604</v>
      </c>
      <c r="G22" s="16">
        <v>46141</v>
      </c>
    </row>
    <row r="23" spans="1:7">
      <c r="A23" s="15" t="s">
        <v>612</v>
      </c>
      <c r="B23" s="15" t="s">
        <v>128</v>
      </c>
      <c r="C23" s="16">
        <v>46127</v>
      </c>
      <c r="D23" s="16">
        <v>46157</v>
      </c>
      <c r="E23" s="17">
        <v>64000</v>
      </c>
      <c r="F23" s="15" t="s">
        <v>604</v>
      </c>
      <c r="G23" s="16">
        <v>46152</v>
      </c>
    </row>
    <row r="24" spans="1:7">
      <c r="D24" s="6" t="s">
        <v>557</v>
      </c>
      <c r="E24" s="13">
        <f>SUM(E4:E23)</f>
        <v>2021000</v>
      </c>
    </row>
    <row r="25" spans="1:7">
      <c r="D25" s="6" t="s">
        <v>613</v>
      </c>
      <c r="E25" s="13">
        <f>SUMIF(F4:F23,"Open",E4:E23)</f>
        <v>1213000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zoomScaleNormal="100" workbookViewId="0"/>
  </sheetViews>
  <sheetFormatPr defaultColWidth="8.7109375" defaultRowHeight="15"/>
  <cols>
    <col min="1" max="1" width="24" customWidth="1"/>
    <col min="2" max="2" width="11" customWidth="1"/>
    <col min="3" max="3" width="9" customWidth="1"/>
    <col min="4" max="5" width="11" customWidth="1"/>
    <col min="6" max="6" width="14" customWidth="1"/>
    <col min="7" max="7" width="46" customWidth="1"/>
  </cols>
  <sheetData>
    <row r="1" spans="1:7" ht="19.7">
      <c r="A1" s="1" t="s">
        <v>614</v>
      </c>
    </row>
    <row r="3" spans="1:7" ht="23.85">
      <c r="A3" s="7" t="s">
        <v>615</v>
      </c>
      <c r="B3" s="7" t="s">
        <v>616</v>
      </c>
      <c r="C3" s="7" t="s">
        <v>617</v>
      </c>
      <c r="D3" s="7" t="s">
        <v>618</v>
      </c>
      <c r="E3" s="7" t="s">
        <v>619</v>
      </c>
      <c r="F3" s="7" t="s">
        <v>620</v>
      </c>
      <c r="G3" s="7" t="s">
        <v>621</v>
      </c>
    </row>
    <row r="4" spans="1:7">
      <c r="A4" s="15" t="s">
        <v>622</v>
      </c>
      <c r="B4" s="15">
        <v>52</v>
      </c>
      <c r="C4" s="15">
        <v>50</v>
      </c>
      <c r="D4" s="15">
        <f>B4-C4</f>
        <v>2</v>
      </c>
      <c r="E4" s="18">
        <f>C4/B4</f>
        <v>0.96153846153846156</v>
      </c>
      <c r="F4" s="15" t="s">
        <v>623</v>
      </c>
      <c r="G4" s="15" t="s">
        <v>624</v>
      </c>
    </row>
    <row r="5" spans="1:7">
      <c r="A5" s="15" t="s">
        <v>625</v>
      </c>
      <c r="B5" s="15">
        <v>12</v>
      </c>
      <c r="C5" s="15">
        <v>11</v>
      </c>
      <c r="D5" s="15">
        <f>B5-C5</f>
        <v>1</v>
      </c>
      <c r="E5" s="18">
        <f>C5/B5</f>
        <v>0.91666666666666663</v>
      </c>
      <c r="F5" s="15" t="s">
        <v>626</v>
      </c>
      <c r="G5" s="15" t="s">
        <v>627</v>
      </c>
    </row>
    <row r="6" spans="1:7">
      <c r="A6" s="15" t="s">
        <v>628</v>
      </c>
      <c r="B6" s="15">
        <v>12</v>
      </c>
      <c r="C6" s="15">
        <v>10</v>
      </c>
      <c r="D6" s="15">
        <f>B6-C6</f>
        <v>2</v>
      </c>
      <c r="E6" s="18">
        <f>C6/B6</f>
        <v>0.83333333333333337</v>
      </c>
      <c r="F6" s="15" t="s">
        <v>623</v>
      </c>
      <c r="G6" s="15" t="s">
        <v>629</v>
      </c>
    </row>
    <row r="7" spans="1:7">
      <c r="A7" s="15" t="s">
        <v>630</v>
      </c>
      <c r="B7" s="15">
        <v>9</v>
      </c>
      <c r="C7" s="15">
        <v>6</v>
      </c>
      <c r="D7" s="15">
        <f>B7-C7</f>
        <v>3</v>
      </c>
      <c r="E7" s="18">
        <f>C7/B7</f>
        <v>0.66666666666666663</v>
      </c>
      <c r="F7" s="15" t="s">
        <v>631</v>
      </c>
      <c r="G7" s="15" t="s">
        <v>632</v>
      </c>
    </row>
    <row r="8" spans="1:7">
      <c r="A8" s="15" t="s">
        <v>633</v>
      </c>
      <c r="B8" s="15">
        <v>11</v>
      </c>
      <c r="C8" s="15">
        <v>7</v>
      </c>
      <c r="D8" s="15">
        <f>B8-C8</f>
        <v>4</v>
      </c>
      <c r="E8" s="18">
        <f>C8/B8</f>
        <v>0.63636363636363635</v>
      </c>
      <c r="F8" s="15" t="s">
        <v>631</v>
      </c>
      <c r="G8" s="15" t="s">
        <v>634</v>
      </c>
    </row>
    <row r="9" spans="1:7">
      <c r="A9" s="15" t="s">
        <v>635</v>
      </c>
      <c r="B9" s="15">
        <v>5</v>
      </c>
      <c r="C9" s="15">
        <v>3</v>
      </c>
      <c r="D9" s="15">
        <f>B9-C9</f>
        <v>2</v>
      </c>
      <c r="E9" s="18">
        <f>C9/B9</f>
        <v>0.6</v>
      </c>
      <c r="F9" s="15" t="s">
        <v>631</v>
      </c>
      <c r="G9" s="15" t="s">
        <v>636</v>
      </c>
    </row>
    <row r="10" spans="1:7">
      <c r="A10" s="15" t="s">
        <v>637</v>
      </c>
      <c r="B10" s="15">
        <v>4</v>
      </c>
      <c r="C10" s="15">
        <v>4</v>
      </c>
      <c r="D10" s="15">
        <f>B10-C10</f>
        <v>0</v>
      </c>
      <c r="E10" s="18">
        <f>C10/B10</f>
        <v>1</v>
      </c>
      <c r="F10" s="15" t="s">
        <v>623</v>
      </c>
      <c r="G10" s="15" t="s">
        <v>638</v>
      </c>
    </row>
    <row r="11" spans="1:7">
      <c r="A11" s="15" t="s">
        <v>639</v>
      </c>
      <c r="B11" s="15">
        <v>6</v>
      </c>
      <c r="C11" s="15">
        <v>6</v>
      </c>
      <c r="D11" s="15">
        <f>B11-C11</f>
        <v>0</v>
      </c>
      <c r="E11" s="18">
        <f>C11/B11</f>
        <v>1</v>
      </c>
      <c r="F11" s="15" t="s">
        <v>623</v>
      </c>
      <c r="G11" s="15"/>
    </row>
    <row r="12" spans="1:7">
      <c r="A12" s="6" t="s">
        <v>557</v>
      </c>
      <c r="B12" s="6">
        <f>SUM(B4:B11)</f>
        <v>111</v>
      </c>
      <c r="C12" s="6">
        <f>SUM(C4:C11)</f>
        <v>97</v>
      </c>
      <c r="D12" s="6">
        <f>SUM(D4:D11)</f>
        <v>14</v>
      </c>
      <c r="E12" s="14">
        <f>C12/B12</f>
        <v>0.87387387387387383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Michael Bearchell</cp:lastModifiedBy>
  <cp:revision>0</cp:revision>
  <dcterms:created xsi:type="dcterms:W3CDTF">2026-06-03T19:39:25Z</dcterms:created>
  <dcterms:modified xsi:type="dcterms:W3CDTF">2026-06-08T19:10:05Z</dcterms:modified>
  <cp:category/>
  <cp:contentStatus/>
</cp:coreProperties>
</file>